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
    </mc:Choice>
  </mc:AlternateContent>
  <xr:revisionPtr revIDLastSave="0" documentId="13_ncr:1_{B6E06A83-E274-40C8-B671-7E0D369E4A23}" xr6:coauthVersionLast="47" xr6:coauthVersionMax="47" xr10:uidLastSave="{00000000-0000-0000-0000-000000000000}"/>
  <bookViews>
    <workbookView xWindow="-108" yWindow="-108" windowWidth="23256" windowHeight="12456" xr2:uid="{C6EC0059-46D8-497B-99E1-DFA4A7A4168A}"/>
  </bookViews>
  <sheets>
    <sheet name="COVER PAGE" sheetId="7" r:id="rId1"/>
    <sheet name="Rhonda" sheetId="3" r:id="rId2"/>
    <sheet name="Victoria" sheetId="71" r:id="rId3"/>
    <sheet name="Amanda" sheetId="73" r:id="rId4"/>
    <sheet name="ORCHID ROOM" sheetId="72" r:id="rId5"/>
    <sheet name="Kim" sheetId="6" r:id="rId6"/>
    <sheet name="Megan" sheetId="74" r:id="rId7"/>
  </sheets>
  <functionGroups builtInGroupCount="19"/>
  <definedNames>
    <definedName name="_xleta.ISBLANK" hidden="1" xlm="1">#NAME?</definedName>
    <definedName name="_xleta.OR" hidden="1" xlm="1">#NAME?</definedName>
    <definedName name="_xleta.TEX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73" l="1"/>
  <c r="B7" i="71"/>
  <c r="B7" i="3"/>
  <c r="B5" i="3"/>
  <c r="B5" i="6"/>
  <c r="B6" i="74"/>
  <c r="B5" i="74" s="1"/>
</calcChain>
</file>

<file path=xl/sharedStrings.xml><?xml version="1.0" encoding="utf-8"?>
<sst xmlns="http://schemas.openxmlformats.org/spreadsheetml/2006/main" count="453" uniqueCount="177">
  <si>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</si>
  <si>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</si>
  <si>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</si>
  <si>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</si>
  <si>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</si>
  <si>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</si>
  <si>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</si>
  <si>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</si>
  <si>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</si>
  <si>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</si>
  <si>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</si>
  <si>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</si>
  <si>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</si>
  <si>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</si>
  <si>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</si>
  <si>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</si>
  <si>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</si>
  <si>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</si>
  <si>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</si>
  <si>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</si>
  <si>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</si>
  <si>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</si>
  <si>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</si>
  <si>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</si>
  <si>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</si>
  <si>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</si>
  <si>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</si>
  <si>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</si>
  <si>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</si>
  <si>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</si>
  <si>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</si>
  <si>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</si>
  <si>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</si>
  <si>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</si>
  <si>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</si>
  <si>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</si>
  <si>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</si>
  <si>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</si>
  <si>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</si>
  <si>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</si>
  <si>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</si>
  <si>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</si>
  <si>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</si>
  <si>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</si>
  <si>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</si>
  <si>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</si>
  <si>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</si>
  <si>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</si>
  <si>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</si>
  <si>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</si>
  <si>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</si>
  <si>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</si>
  <si>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</si>
  <si>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</si>
  <si>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</si>
  <si>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</si>
  <si>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</si>
  <si>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</si>
  <si>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</si>
  <si>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</si>
  <si>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</si>
  <si>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</si>
  <si>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</si>
  <si>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</si>
  <si>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</si>
  <si>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</si>
  <si>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</si>
  <si>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</si>
  <si>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</si>
  <si>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</si>
  <si>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</si>
  <si>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</si>
  <si>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</si>
  <si>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</si>
  <si>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</si>
  <si>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</si>
  <si>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</si>
  <si>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</si>
  <si>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</si>
  <si>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</si>
  <si>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</si>
  <si>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</si>
  <si>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</si>
  <si>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</si>
  <si>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Extensions</t>
  </si>
  <si>
    <t>$250+</t>
  </si>
  <si>
    <t>END OF FORMULA</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</si>
  <si>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</si>
  <si>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</si>
  <si>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</si>
  <si>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</si>
  <si>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</si>
  <si>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</si>
  <si>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</si>
  <si>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</si>
  <si>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</si>
  <si>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</si>
  <si>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</si>
  <si>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</si>
  <si>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sms:+12269981227</t>
  </si>
  <si>
    <t>Kim Ferguson</t>
  </si>
  <si>
    <t>Certified Aesthetician &amp; Owner of The Orchid Room at Luxe</t>
  </si>
  <si>
    <t>tel:15192071111</t>
  </si>
  <si>
    <t>Victoria Butler</t>
  </si>
  <si>
    <t>Hairstylist</t>
  </si>
  <si>
    <t>Book Online</t>
  </si>
  <si>
    <t>https://www.fresha.com/a/luxe-hair-artistry-co-st-thomas-20-churchill-crescent-d3m2puen/booking?menu=true&amp;dppub=true&amp;employeeId=1196989</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</si>
  <si>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</si>
  <si>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</si>
  <si>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</si>
  <si>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</si>
  <si>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</si>
  <si>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</si>
  <si>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</si>
  <si>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</si>
  <si>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</si>
  <si>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</si>
  <si>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</si>
  <si>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</si>
  <si>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Amanda Arends</t>
  </si>
  <si>
    <t>Junior Hairstylist</t>
  </si>
  <si>
    <t>https://squareup.com/appointments/book/k2t8zozwpu8n5w/LZ0J6HENZDD2W/start</t>
  </si>
  <si>
    <t>KEYWORDS: "Special" = Bold</t>
  </si>
  <si>
    <t>Special! 10% off all services when you book with Amanda! Please note that the listed prices include the discount.\nAmanda is a junior hairstylist. She completed the hairstyling program at Wheable in November 2023. As part of her program, she did a co-op placement at For The Look Salon and Spa in Dorchester and at First Choice Haircutters. After excelling in her courses, she is excited to begin her new career.</t>
  </si>
  <si>
    <t>Megan Hummel</t>
  </si>
  <si>
    <t>Certified Aesthetician</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</si>
  <si>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</si>
  <si>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$75+</t>
  </si>
  <si>
    <t>Full Colour</t>
  </si>
  <si>
    <t>$125+</t>
  </si>
  <si>
    <t>$80+</t>
  </si>
  <si>
    <t>$100+</t>
  </si>
  <si>
    <t>$130+</t>
  </si>
  <si>
    <t>Wash</t>
  </si>
  <si>
    <t>$10+</t>
  </si>
  <si>
    <t>Ages 12 and Under</t>
  </si>
  <si>
    <t>$35+</t>
  </si>
  <si>
    <t>$25+</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</si>
  <si>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</si>
  <si>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</si>
  <si>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</si>
  <si>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</si>
  <si>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</si>
  <si>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</si>
  <si>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</si>
  <si>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</si>
  <si>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</si>
  <si>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</si>
  <si>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</si>
  <si>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</si>
  <si>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Express Colour</t>
  </si>
  <si>
    <t>Nine Minute Processing Time, Limited Colour Options</t>
  </si>
  <si>
    <t>Foilayage</t>
  </si>
  <si>
    <t>$200+</t>
  </si>
  <si>
    <t>Ombre</t>
  </si>
  <si>
    <t>Colours &amp; Highlights</t>
  </si>
  <si>
    <t>Root Re-Touch</t>
  </si>
  <si>
    <t>Root Re-Touch + Partial Highlights</t>
  </si>
  <si>
    <t>Root Re-Touch + Full Highlights</t>
  </si>
  <si>
    <t>Full Colour + Full Highlights</t>
  </si>
  <si>
    <t>Three-Quarter Highlights</t>
  </si>
  <si>
    <t>Root Re-Touch + Three-Quarter Highlights</t>
  </si>
  <si>
    <t>Toner (Short Hair)</t>
  </si>
  <si>
    <t>Toner (Long Hair)</t>
  </si>
  <si>
    <t>Colour &amp; Highlight Combos</t>
  </si>
  <si>
    <t>$350+</t>
  </si>
  <si>
    <t>$450+</t>
  </si>
  <si>
    <t>Colour Correction</t>
  </si>
  <si>
    <t>Additional charge for each extra bowl of colour used</t>
  </si>
  <si>
    <t>$235+</t>
  </si>
  <si>
    <t>Partial Extensions</t>
  </si>
  <si>
    <t>Three-Quarter Extensions</t>
  </si>
  <si>
    <t>Full Extensions</t>
  </si>
  <si>
    <t>Fusion Hair Extensions</t>
  </si>
  <si>
    <t>Victoria (Ria) is a St. Thomas based licensed hairstylist, who has worked in the industry since 2014. She has trained with celebrity hair stylists, worked on magazine photo shoots, and prioritizes the integrity of the hair while achieving your desired look. Victoria is a client-centric stylist, who loves to pair a client's at-home hair care routine with their hair goals to ensure they can recreate their style in every day life. She specializes in corrective colour and foiling, also offering a variety of cutting and facial waxing services. Click the link to BOOK ONLINE with Victoria today!</t>
  </si>
  <si>
    <t>sms:+14373858925</t>
  </si>
  <si>
    <t>Is Accepting New Clients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</si>
</sst>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1">
    <border>
      <left/>
      <right/>
      <top/>
      <bottom/>
      <diagonal/>
    </border>
  </borders>
  <cellStyleXfs count="1">
    <xf numFmtId="0" fontId="0" fillId="0" borderId="0"/>
  </cellStyleXfs>
  <cellXfs count="27">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0" fillId="0" borderId="0" xfId="0" applyAlignment="1" applyProtection="1">
      <alignment wrapText="1"/>
      <protection locked="0"/>
    </xf>
    <xf numFmtId="0" fontId="0" fillId="0" borderId="0" xfId="0"/>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0" fillId="0" borderId="0" xfId="0" applyAlignment="1" applyProtection="1">
      <alignment horizontal="left" vertical="top"/>
      <protection locked="0"/>
    </xf>
    <xf numFmtId="0" fontId="0" fillId="0" borderId="0" xfId="0" applyAlignment="1">
      <alignment horizontal="left"/>
    </xf>
    <xf numFmtId="0" fontId="0" fillId="0" borderId="0" xfId="0" applyAlignment="1">
      <alignment wrapText="1"/>
    </xf>
    <xf numFmtId="0" fontId="5" fillId="3" borderId="0" xfId="0" applyFont="1" applyFill="1" applyAlignment="1" applyProtection="1">
      <alignment horizontal="left" vertical="top"/>
      <protection locked="0"/>
    </xf>
  </cellXfs>
  <cellStyles count="1">
    <cellStyle name="Normal" xfId="0" builtinId="0"/>
  </cellStyles>
  <dxfs count="23">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FF00"/>
        </patternFill>
      </fill>
    </dxf>
    <dxf>
      <fill>
        <patternFill>
          <bgColor rgb="FFFF0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6941820</xdr:colOff>
          <xdr:row>16</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4137660</xdr:colOff>
          <xdr:row>13</xdr:row>
          <xdr:rowOff>38100</xdr:rowOff>
        </xdr:from>
        <xdr:to>
          <xdr:col>0</xdr:col>
          <xdr:colOff>5212080</xdr:colOff>
          <xdr:row>16</xdr:row>
          <xdr:rowOff>7620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
  <sheetViews>
    <sheetView showGridLines="0" tabSelected="1" topLeftCell="A4" workbookViewId="0">
      <selection activeCell="A17" sqref="A17"/>
    </sheetView>
  </sheetViews>
  <sheetFormatPr defaultColWidth="0" defaultRowHeight="14.4" x14ac:dyDescent="0.3"/>
  <cols>
    <col min="1" max="1" width="175.6640625" style="16" customWidth="1"/>
    <col min="2" max="16384" width="9.109375" style="16" hidden="1"/>
  </cols>
  <sheetData>
    <row r="1" spans="1:1" x14ac:dyDescent="0.3">
      <c r="A1" s="18" t="s">
        <v>122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6941820</xdr:colOff>
                    <xdr:row>16</xdr:row>
                    <xdr:rowOff>7620</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4137660</xdr:colOff>
                    <xdr:row>13</xdr:row>
                    <xdr:rowOff>38100</xdr:rowOff>
                  </from>
                  <to>
                    <xdr:col>0</xdr:col>
                    <xdr:colOff>5212080</xdr:colOff>
                    <xdr:row>16</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27"/>
  <sheetViews>
    <sheetView zoomScaleNormal="100" workbookViewId="0">
      <selection activeCell="B21" sqref="B21"/>
    </sheetView>
  </sheetViews>
  <sheetFormatPr defaultColWidth="0" defaultRowHeight="14.4" x14ac:dyDescent="0.3"/>
  <cols>
    <col min="1" max="1" width="22.33203125" style="9" bestFit="1" customWidth="1"/>
    <col min="2" max="2" width="40.6640625" style="6" customWidth="1"/>
    <col min="3" max="3" width="15.6640625" style="4" customWidth="1"/>
    <col min="4" max="4" width="100.6640625" style="6" customWidth="1"/>
    <col min="5" max="5" width="0" style="1" hidden="1" customWidth="1"/>
    <col min="6" max="16384" width="12.6640625" style="1" hidden="1"/>
  </cols>
  <sheetData>
    <row r="1" spans="1:4" s="22" customFormat="1" x14ac:dyDescent="0.3">
      <c r="A1" s="22" t="s">
        <v>88</v>
      </c>
    </row>
    <row r="2" spans="1:4" x14ac:dyDescent="0.3">
      <c r="A2" s="9" t="s">
        <v>2</v>
      </c>
      <c r="B2" s="21" t="s">
        <v>96</v>
      </c>
      <c r="C2" s="21"/>
      <c r="D2" s="21"/>
    </row>
    <row r="3" spans="1:4" x14ac:dyDescent="0.3">
      <c r="A3" s="9" t="s">
        <v>89</v>
      </c>
      <c r="B3" s="21" t="s">
        <v>97</v>
      </c>
      <c r="C3" s="21"/>
      <c r="D3" s="21"/>
    </row>
    <row r="4" spans="1:4" s="19" customFormat="1" x14ac:dyDescent="0.3">
      <c r="A4" s="6" t="s">
        <v>90</v>
      </c>
      <c r="B4" s="23" t="s">
        <v>98</v>
      </c>
      <c r="C4" s="23"/>
      <c r="D4" s="23"/>
    </row>
    <row r="5" spans="1:4" x14ac:dyDescent="0.3">
      <c r="A5" s="9" t="s">
        <v>91</v>
      </c>
      <c r="B5" s="21" t="str">
        <f>"Text: " &amp; TEXT(RIGHT(B6,10), "[&lt;=9999999]###-####;(###) ###-####")</f>
        <v>Text: (226) 998-1227</v>
      </c>
      <c r="C5" s="21"/>
      <c r="D5" s="21"/>
    </row>
    <row r="6" spans="1:4" x14ac:dyDescent="0.3">
      <c r="A6" s="9" t="s">
        <v>92</v>
      </c>
      <c r="B6" s="21" t="s">
        <v>99</v>
      </c>
      <c r="C6" s="21"/>
      <c r="D6" s="21"/>
    </row>
    <row r="7" spans="1:4" x14ac:dyDescent="0.3">
      <c r="A7" s="9" t="s">
        <v>93</v>
      </c>
      <c r="B7" s="21" t="str">
        <f>"Call: " &amp; TEXT(RIGHT(B8,10), "[&lt;=9999999]###-####;(###) ###-####")</f>
        <v>Call: (519) 207-1111</v>
      </c>
      <c r="C7" s="21"/>
      <c r="D7" s="21"/>
    </row>
    <row r="8" spans="1:4" x14ac:dyDescent="0.3">
      <c r="A8" s="9" t="s">
        <v>94</v>
      </c>
      <c r="B8" s="20" t="s">
        <v>102</v>
      </c>
      <c r="C8" s="20"/>
      <c r="D8" s="20"/>
    </row>
    <row r="9" spans="1:4" x14ac:dyDescent="0.3">
      <c r="A9" s="9" t="s">
        <v>95</v>
      </c>
      <c r="B9" s="21"/>
      <c r="C9" s="21"/>
      <c r="D9" s="21"/>
    </row>
    <row r="10" spans="1:4" x14ac:dyDescent="0.3">
      <c r="A10" s="9" t="s">
        <v>176</v>
      </c>
      <c r="B10" s="21" t="b">
        <v>1</v>
      </c>
      <c r="C10" s="21"/>
      <c r="D10" s="21"/>
    </row>
    <row r="11" spans="1:4" s="22" customFormat="1" x14ac:dyDescent="0.3">
      <c r="A11" s="22" t="s">
        <v>87</v>
      </c>
    </row>
    <row r="12" spans="1:4" s="2" customFormat="1" x14ac:dyDescent="0.3">
      <c r="A12" s="7" t="s">
        <v>0</v>
      </c>
      <c r="B12" s="8" t="s">
        <v>2</v>
      </c>
      <c r="C12" s="3" t="s">
        <v>4</v>
      </c>
      <c r="D12" s="8" t="s">
        <v>3</v>
      </c>
    </row>
    <row r="13" spans="1:4" x14ac:dyDescent="0.3">
      <c r="A13" s="9" t="s">
        <v>11</v>
      </c>
      <c r="B13" s="6" t="s">
        <v>74</v>
      </c>
      <c r="D13" s="6" t="s">
        <v>138</v>
      </c>
    </row>
    <row r="14" spans="1:4" x14ac:dyDescent="0.3">
      <c r="A14" s="9" t="s">
        <v>1</v>
      </c>
      <c r="B14" s="6" t="s">
        <v>75</v>
      </c>
      <c r="C14" s="4" t="s">
        <v>136</v>
      </c>
    </row>
    <row r="15" spans="1:4" x14ac:dyDescent="0.3">
      <c r="A15" s="9" t="s">
        <v>1</v>
      </c>
      <c r="B15" s="6" t="s">
        <v>76</v>
      </c>
      <c r="C15" s="4" t="s">
        <v>137</v>
      </c>
    </row>
    <row r="16" spans="1:4" x14ac:dyDescent="0.3">
      <c r="A16" s="9" t="s">
        <v>1</v>
      </c>
      <c r="B16" s="6" t="s">
        <v>77</v>
      </c>
      <c r="C16" s="4" t="s">
        <v>137</v>
      </c>
      <c r="D16" s="6" t="s">
        <v>135</v>
      </c>
    </row>
    <row r="17" spans="1:4" x14ac:dyDescent="0.3">
      <c r="A17" s="9" t="s">
        <v>12</v>
      </c>
      <c r="B17" s="6" t="s">
        <v>139</v>
      </c>
    </row>
    <row r="18" spans="1:4" x14ac:dyDescent="0.3">
      <c r="A18" s="9" t="s">
        <v>1</v>
      </c>
      <c r="B18" s="6" t="s">
        <v>133</v>
      </c>
      <c r="C18" s="4">
        <v>5</v>
      </c>
    </row>
    <row r="19" spans="1:4" x14ac:dyDescent="0.3">
      <c r="A19" s="9" t="s">
        <v>1</v>
      </c>
      <c r="B19" s="6" t="s">
        <v>140</v>
      </c>
      <c r="C19" s="4">
        <v>5</v>
      </c>
      <c r="D19" s="6" t="s">
        <v>142</v>
      </c>
    </row>
    <row r="20" spans="1:4" x14ac:dyDescent="0.3">
      <c r="A20" s="9" t="s">
        <v>1</v>
      </c>
      <c r="B20" s="6" t="s">
        <v>141</v>
      </c>
      <c r="C20" s="4" t="s">
        <v>134</v>
      </c>
      <c r="D20" s="6" t="s">
        <v>144</v>
      </c>
    </row>
    <row r="21" spans="1:4" x14ac:dyDescent="0.3">
      <c r="A21" s="9" t="s">
        <v>11</v>
      </c>
      <c r="B21" s="6" t="s">
        <v>149</v>
      </c>
    </row>
    <row r="22" spans="1:4" x14ac:dyDescent="0.3">
      <c r="A22" s="9" t="s">
        <v>1</v>
      </c>
      <c r="B22" s="6" t="s">
        <v>145</v>
      </c>
      <c r="C22" s="4">
        <v>28</v>
      </c>
    </row>
    <row r="23" spans="1:4" x14ac:dyDescent="0.3">
      <c r="A23" s="9" t="s">
        <v>1</v>
      </c>
      <c r="B23" s="6" t="s">
        <v>146</v>
      </c>
      <c r="C23" s="4" t="s">
        <v>147</v>
      </c>
      <c r="D23" s="6" t="s">
        <v>143</v>
      </c>
    </row>
    <row r="24" spans="1:4" x14ac:dyDescent="0.3">
      <c r="A24" s="9" t="s">
        <v>1</v>
      </c>
      <c r="B24" s="6" t="s">
        <v>148</v>
      </c>
      <c r="C24" s="4" t="s">
        <v>130</v>
      </c>
    </row>
    <row r="25" spans="1:4" x14ac:dyDescent="0.3">
      <c r="A25" s="9" t="s">
        <v>11</v>
      </c>
      <c r="B25" s="6" t="s">
        <v>155</v>
      </c>
    </row>
    <row r="26" spans="1:4" x14ac:dyDescent="0.3">
      <c r="A26" s="9" t="s">
        <v>12</v>
      </c>
      <c r="B26" s="6" t="s">
        <v>78</v>
      </c>
      <c r="D26" s="6" t="s">
        <v>168</v>
      </c>
    </row>
    <row r="27" spans="1:4" x14ac:dyDescent="0.3">
      <c r="A27" s="9" t="s">
        <v>1</v>
      </c>
      <c r="B27" s="6" t="s">
        <v>156</v>
      </c>
      <c r="C27" s="4" t="s">
        <v>127</v>
      </c>
    </row>
    <row r="28" spans="1:4" x14ac:dyDescent="0.3">
      <c r="A28" s="9" t="s">
        <v>1</v>
      </c>
      <c r="B28" s="6" t="s">
        <v>128</v>
      </c>
      <c r="C28" s="4" t="s">
        <v>129</v>
      </c>
    </row>
    <row r="29" spans="1:4" x14ac:dyDescent="0.3">
      <c r="A29" s="9" t="s">
        <v>1</v>
      </c>
      <c r="B29" s="6" t="s">
        <v>150</v>
      </c>
      <c r="C29" s="4" t="s">
        <v>127</v>
      </c>
      <c r="D29" s="6" t="s">
        <v>151</v>
      </c>
    </row>
    <row r="30" spans="1:4" x14ac:dyDescent="0.3">
      <c r="A30" s="9" t="s">
        <v>1</v>
      </c>
      <c r="B30" s="6" t="s">
        <v>167</v>
      </c>
      <c r="C30" s="4" t="s">
        <v>85</v>
      </c>
    </row>
    <row r="31" spans="1:4" x14ac:dyDescent="0.3">
      <c r="A31" s="9" t="s">
        <v>12</v>
      </c>
      <c r="B31" s="6" t="s">
        <v>79</v>
      </c>
    </row>
    <row r="32" spans="1:4" x14ac:dyDescent="0.3">
      <c r="A32" s="9" t="s">
        <v>1</v>
      </c>
      <c r="B32" s="6" t="s">
        <v>80</v>
      </c>
      <c r="C32" s="4" t="s">
        <v>130</v>
      </c>
    </row>
    <row r="33" spans="1:4" x14ac:dyDescent="0.3">
      <c r="A33" s="9" t="s">
        <v>1</v>
      </c>
      <c r="B33" s="6" t="s">
        <v>160</v>
      </c>
      <c r="C33" s="4" t="s">
        <v>131</v>
      </c>
    </row>
    <row r="34" spans="1:4" x14ac:dyDescent="0.3">
      <c r="A34" s="9" t="s">
        <v>1</v>
      </c>
      <c r="B34" s="6" t="s">
        <v>81</v>
      </c>
      <c r="C34" s="4" t="s">
        <v>132</v>
      </c>
    </row>
    <row r="35" spans="1:4" x14ac:dyDescent="0.3">
      <c r="A35" s="9" t="s">
        <v>12</v>
      </c>
      <c r="B35" s="6" t="s">
        <v>164</v>
      </c>
    </row>
    <row r="36" spans="1:4" x14ac:dyDescent="0.3">
      <c r="A36" s="9" t="s">
        <v>1</v>
      </c>
      <c r="B36" s="6" t="s">
        <v>157</v>
      </c>
      <c r="C36" s="4">
        <v>135</v>
      </c>
    </row>
    <row r="37" spans="1:4" x14ac:dyDescent="0.3">
      <c r="A37" s="9" t="s">
        <v>1</v>
      </c>
      <c r="B37" s="6" t="s">
        <v>161</v>
      </c>
      <c r="C37" s="4">
        <v>155</v>
      </c>
    </row>
    <row r="38" spans="1:4" x14ac:dyDescent="0.3">
      <c r="A38" s="9" t="s">
        <v>1</v>
      </c>
      <c r="B38" s="6" t="s">
        <v>158</v>
      </c>
      <c r="C38" s="4">
        <v>185</v>
      </c>
    </row>
    <row r="39" spans="1:4" x14ac:dyDescent="0.3">
      <c r="A39" s="9" t="s">
        <v>1</v>
      </c>
      <c r="B39" s="6" t="s">
        <v>159</v>
      </c>
      <c r="C39" s="4" t="s">
        <v>169</v>
      </c>
    </row>
    <row r="40" spans="1:4" x14ac:dyDescent="0.3">
      <c r="A40" s="9" t="s">
        <v>11</v>
      </c>
      <c r="B40" s="6" t="s">
        <v>83</v>
      </c>
    </row>
    <row r="41" spans="1:4" x14ac:dyDescent="0.3">
      <c r="A41" s="9" t="s">
        <v>1</v>
      </c>
      <c r="B41" s="6" t="s">
        <v>83</v>
      </c>
      <c r="C41" s="4" t="s">
        <v>153</v>
      </c>
    </row>
    <row r="42" spans="1:4" x14ac:dyDescent="0.3">
      <c r="A42" s="9" t="s">
        <v>1</v>
      </c>
      <c r="B42" s="6" t="s">
        <v>152</v>
      </c>
      <c r="C42" s="4" t="s">
        <v>153</v>
      </c>
    </row>
    <row r="43" spans="1:4" x14ac:dyDescent="0.3">
      <c r="A43" s="9" t="s">
        <v>1</v>
      </c>
      <c r="B43" s="6" t="s">
        <v>154</v>
      </c>
      <c r="C43" s="4" t="s">
        <v>153</v>
      </c>
    </row>
    <row r="44" spans="1:4" x14ac:dyDescent="0.3">
      <c r="A44" s="9" t="s">
        <v>11</v>
      </c>
      <c r="B44" s="6" t="s">
        <v>82</v>
      </c>
    </row>
    <row r="45" spans="1:4" x14ac:dyDescent="0.3">
      <c r="A45" s="9" t="s">
        <v>1</v>
      </c>
      <c r="B45" s="6" t="s">
        <v>162</v>
      </c>
      <c r="C45" s="4">
        <v>50</v>
      </c>
    </row>
    <row r="46" spans="1:4" x14ac:dyDescent="0.3">
      <c r="A46" s="9" t="s">
        <v>1</v>
      </c>
      <c r="B46" s="6" t="s">
        <v>163</v>
      </c>
      <c r="C46" s="4" t="s">
        <v>127</v>
      </c>
      <c r="D46" s="6" t="s">
        <v>143</v>
      </c>
    </row>
    <row r="47" spans="1:4" x14ac:dyDescent="0.3">
      <c r="A47" s="9" t="s">
        <v>11</v>
      </c>
      <c r="B47" s="6" t="s">
        <v>84</v>
      </c>
      <c r="D47" s="6" t="s">
        <v>173</v>
      </c>
    </row>
    <row r="48" spans="1:4" x14ac:dyDescent="0.3">
      <c r="A48" s="9" t="s">
        <v>1</v>
      </c>
      <c r="B48" s="6" t="s">
        <v>170</v>
      </c>
      <c r="C48" s="4" t="s">
        <v>85</v>
      </c>
    </row>
    <row r="49" spans="1:3" x14ac:dyDescent="0.3">
      <c r="A49" s="9" t="s">
        <v>1</v>
      </c>
      <c r="B49" s="6" t="s">
        <v>171</v>
      </c>
      <c r="C49" s="4" t="s">
        <v>165</v>
      </c>
    </row>
    <row r="50" spans="1:3" x14ac:dyDescent="0.3">
      <c r="A50" s="9" t="s">
        <v>1</v>
      </c>
      <c r="B50" s="6" t="s">
        <v>172</v>
      </c>
      <c r="C50" s="4" t="s">
        <v>166</v>
      </c>
    </row>
    <row r="51" spans="1:3" x14ac:dyDescent="0.3">
      <c r="C51" s="5"/>
    </row>
    <row r="52" spans="1:3" x14ac:dyDescent="0.3">
      <c r="C52" s="5"/>
    </row>
    <row r="53" spans="1:3" x14ac:dyDescent="0.3">
      <c r="C53" s="5"/>
    </row>
    <row r="56" spans="1:3" x14ac:dyDescent="0.3">
      <c r="C56" s="5"/>
    </row>
    <row r="57" spans="1:3" x14ac:dyDescent="0.3">
      <c r="C57" s="5"/>
    </row>
    <row r="58" spans="1:3" x14ac:dyDescent="0.3">
      <c r="C58" s="5"/>
    </row>
    <row r="59" spans="1:3" x14ac:dyDescent="0.3">
      <c r="C59" s="6"/>
    </row>
    <row r="327" spans="1:4" s="13" customFormat="1" x14ac:dyDescent="0.3">
      <c r="A327" s="10"/>
      <c r="B327" s="11" t="s">
        <v>86</v>
      </c>
      <c r="C327" s="12"/>
      <c r="D327" s="11"/>
    </row>
  </sheetData>
  <mergeCells count="11">
    <mergeCell ref="B8:D8"/>
    <mergeCell ref="B10:D10"/>
    <mergeCell ref="A1:XFD1"/>
    <mergeCell ref="A11:XFD11"/>
    <mergeCell ref="B2:D2"/>
    <mergeCell ref="B3:D3"/>
    <mergeCell ref="B4:D4"/>
    <mergeCell ref="B5:D5"/>
    <mergeCell ref="B6:D6"/>
    <mergeCell ref="B7:D7"/>
    <mergeCell ref="B9:D9"/>
  </mergeCells>
  <conditionalFormatting sqref="A22:A25 D19:D21 C22:D25 A20:C21 A13:D18 A26:D1048576">
    <cfRule type="expression" dxfId="22" priority="18">
      <formula>$A13="group"</formula>
    </cfRule>
  </conditionalFormatting>
  <conditionalFormatting sqref="A22:A25 D19:D21 C22:D25 A20:C21 A13:D18 A26:D1048576">
    <cfRule type="expression" dxfId="21" priority="19">
      <formula>$A13="subgroup"</formula>
    </cfRule>
  </conditionalFormatting>
  <conditionalFormatting sqref="B20:B21 B13:B18 B25:B1048576">
    <cfRule type="expression" dxfId="20" priority="17">
      <formula>AND(NOT($A13=""), $B13="")</formula>
    </cfRule>
  </conditionalFormatting>
  <conditionalFormatting sqref="C13:C18 C20:C1048576">
    <cfRule type="expression" dxfId="19" priority="15">
      <formula>AND(OR($A13="group",$A13="subgroup"), NOT($C13=""))</formula>
    </cfRule>
    <cfRule type="expression" dxfId="18" priority="16">
      <formula>AND($A13="item", $C13="")</formula>
    </cfRule>
  </conditionalFormatting>
  <conditionalFormatting sqref="B25">
    <cfRule type="expression" dxfId="17" priority="1">
      <formula>$A25="group"</formula>
    </cfRule>
  </conditionalFormatting>
  <conditionalFormatting sqref="B25">
    <cfRule type="expression" dxfId="16" priority="2">
      <formula>$A25="subgroup"</formula>
    </cfRule>
  </conditionalFormatting>
  <dataValidations count="1">
    <dataValidation type="list" allowBlank="1" showInputMessage="1" showErrorMessage="1" sqref="A13:A18 A20:A1048576" xr:uid="{8FB5B616-9ABD-4D10-A0A7-971E8CB01D2D}">
      <formula1>"item, group, subgroup"</formula1>
    </dataValidation>
  </dataValidation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B2B29-1684-44E5-BB47-E95835E7B322}">
  <sheetPr codeName="Sheet67"/>
  <dimension ref="A1:D12"/>
  <sheetViews>
    <sheetView workbookViewId="0">
      <selection activeCell="B8" sqref="B8:D8"/>
    </sheetView>
  </sheetViews>
  <sheetFormatPr defaultColWidth="0" defaultRowHeight="14.4" x14ac:dyDescent="0.3"/>
  <cols>
    <col min="1" max="1" width="23.109375" bestFit="1"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0" t="s">
        <v>103</v>
      </c>
      <c r="C2" s="20"/>
      <c r="D2" s="20"/>
    </row>
    <row r="3" spans="1:4" x14ac:dyDescent="0.3">
      <c r="A3" s="15" t="s">
        <v>89</v>
      </c>
      <c r="B3" s="20" t="s">
        <v>104</v>
      </c>
      <c r="C3" s="20"/>
      <c r="D3" s="20"/>
    </row>
    <row r="4" spans="1:4" x14ac:dyDescent="0.3">
      <c r="A4" s="15" t="s">
        <v>90</v>
      </c>
      <c r="B4" s="20" t="s">
        <v>174</v>
      </c>
      <c r="C4" s="20"/>
      <c r="D4" s="20"/>
    </row>
    <row r="5" spans="1:4" x14ac:dyDescent="0.3">
      <c r="A5" s="15" t="s">
        <v>91</v>
      </c>
      <c r="B5" s="20" t="s">
        <v>105</v>
      </c>
      <c r="C5" s="20"/>
      <c r="D5" s="20"/>
    </row>
    <row r="6" spans="1:4" x14ac:dyDescent="0.3">
      <c r="A6" s="15" t="s">
        <v>92</v>
      </c>
      <c r="B6" s="20" t="s">
        <v>106</v>
      </c>
      <c r="C6" s="20"/>
      <c r="D6" s="20"/>
    </row>
    <row r="7" spans="1:4" x14ac:dyDescent="0.3">
      <c r="A7" s="15" t="s">
        <v>93</v>
      </c>
      <c r="B7" s="20" t="str">
        <f>"Call: " &amp; TEXT(RIGHT(B8,10), "[&lt;=9999999]###-####;(###) ###-####")</f>
        <v>Call: (519) 207-1111</v>
      </c>
      <c r="C7" s="20"/>
      <c r="D7" s="20"/>
    </row>
    <row r="8" spans="1:4" x14ac:dyDescent="0.3">
      <c r="A8" s="15" t="s">
        <v>94</v>
      </c>
      <c r="B8" s="20" t="s">
        <v>102</v>
      </c>
      <c r="C8" s="20"/>
      <c r="D8" s="20"/>
    </row>
    <row r="9" spans="1:4" x14ac:dyDescent="0.3">
      <c r="A9" s="15" t="s">
        <v>95</v>
      </c>
      <c r="B9" s="20" t="s">
        <v>106</v>
      </c>
      <c r="C9" s="20"/>
      <c r="D9" s="20"/>
    </row>
    <row r="10" spans="1:4" s="1" customFormat="1" x14ac:dyDescent="0.3">
      <c r="A10" s="15" t="s">
        <v>176</v>
      </c>
      <c r="B10" s="21" t="b">
        <v>1</v>
      </c>
      <c r="C10" s="21"/>
      <c r="D10" s="21"/>
    </row>
    <row r="11" spans="1:4" s="14" customFormat="1" x14ac:dyDescent="0.3">
      <c r="A11" s="14" t="s">
        <v>87</v>
      </c>
    </row>
    <row r="12" spans="1:4" s="15" customFormat="1" x14ac:dyDescent="0.3">
      <c r="A12" s="15" t="s">
        <v>0</v>
      </c>
      <c r="B12" s="15" t="s">
        <v>2</v>
      </c>
      <c r="C12" s="15" t="s">
        <v>4</v>
      </c>
      <c r="D12" s="15" t="s">
        <v>3</v>
      </c>
    </row>
  </sheetData>
  <mergeCells count="9">
    <mergeCell ref="B10:D10"/>
    <mergeCell ref="B8:D8"/>
    <mergeCell ref="B9:D9"/>
    <mergeCell ref="B2:D2"/>
    <mergeCell ref="B3:D3"/>
    <mergeCell ref="B4:D4"/>
    <mergeCell ref="B5:D5"/>
    <mergeCell ref="B6:D6"/>
    <mergeCell ref="B7:D7"/>
  </mergeCells>
  <conditionalFormatting sqref="A13:A1048576">
    <cfRule type="cellIs" dxfId="15" priority="1" stopIfTrue="1" operator="equal">
      <formula>"group"</formula>
    </cfRule>
    <cfRule type="cellIs" dxfId="14" priority="2" stopIfTrue="1" operator="equal">
      <formula>"subgroup"</formula>
    </cfRule>
  </conditionalFormatting>
  <dataValidations count="1">
    <dataValidation type="list" allowBlank="1" showInputMessage="1" showErrorMessage="1" sqref="A13:A1048576" xr:uid="{F27A1686-DA7B-408C-8D5C-335328CD1532}">
      <formula1>"group,subgroup,item"</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sheetPr codeName="Sheet5"/>
  <dimension ref="A1:D12"/>
  <sheetViews>
    <sheetView workbookViewId="0">
      <selection activeCell="B8" sqref="B8:D8"/>
    </sheetView>
  </sheetViews>
  <sheetFormatPr defaultColWidth="0" defaultRowHeight="14.4" x14ac:dyDescent="0.3"/>
  <cols>
    <col min="1" max="1" width="23.109375" bestFit="1"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0" t="s">
        <v>119</v>
      </c>
      <c r="C2" s="20"/>
      <c r="D2" s="20"/>
    </row>
    <row r="3" spans="1:4" x14ac:dyDescent="0.3">
      <c r="A3" s="15" t="s">
        <v>89</v>
      </c>
      <c r="B3" s="20" t="s">
        <v>120</v>
      </c>
      <c r="C3" s="20"/>
      <c r="D3" s="20"/>
    </row>
    <row r="4" spans="1:4" x14ac:dyDescent="0.3">
      <c r="A4" s="15" t="s">
        <v>90</v>
      </c>
      <c r="B4" s="25" t="s">
        <v>123</v>
      </c>
      <c r="C4" s="25"/>
      <c r="D4" s="25"/>
    </row>
    <row r="5" spans="1:4" x14ac:dyDescent="0.3">
      <c r="A5" s="15" t="s">
        <v>110</v>
      </c>
      <c r="B5" s="20" t="s">
        <v>105</v>
      </c>
      <c r="C5" s="20"/>
      <c r="D5" s="20"/>
    </row>
    <row r="6" spans="1:4" x14ac:dyDescent="0.3">
      <c r="A6" s="15" t="s">
        <v>111</v>
      </c>
      <c r="B6" s="20" t="s">
        <v>121</v>
      </c>
      <c r="C6" s="20"/>
      <c r="D6" s="20"/>
    </row>
    <row r="7" spans="1:4" x14ac:dyDescent="0.3">
      <c r="A7" s="15" t="s">
        <v>112</v>
      </c>
      <c r="B7" s="20" t="str">
        <f>"Call: " &amp; TEXT(RIGHT(B8,10), "[&lt;=9999999]###-####;(###) ###-####")</f>
        <v>Call: (519) 207-1111</v>
      </c>
      <c r="C7" s="20"/>
      <c r="D7" s="20"/>
    </row>
    <row r="8" spans="1:4" x14ac:dyDescent="0.3">
      <c r="A8" s="15" t="s">
        <v>113</v>
      </c>
      <c r="B8" s="20" t="s">
        <v>102</v>
      </c>
      <c r="C8" s="20"/>
      <c r="D8" s="20"/>
    </row>
    <row r="9" spans="1:4" x14ac:dyDescent="0.3">
      <c r="A9" s="15" t="s">
        <v>114</v>
      </c>
      <c r="B9" s="20" t="s">
        <v>121</v>
      </c>
      <c r="C9" s="20"/>
      <c r="D9" s="20"/>
    </row>
    <row r="10" spans="1:4" x14ac:dyDescent="0.3">
      <c r="A10" s="15" t="s">
        <v>176</v>
      </c>
      <c r="B10" s="24" t="b">
        <v>1</v>
      </c>
      <c r="C10" s="24"/>
      <c r="D10" s="24"/>
    </row>
    <row r="11" spans="1:4" s="14" customFormat="1" x14ac:dyDescent="0.3">
      <c r="A11" s="14" t="s">
        <v>87</v>
      </c>
    </row>
    <row r="12" spans="1:4" s="15" customFormat="1" x14ac:dyDescent="0.3">
      <c r="A12" s="15" t="s">
        <v>115</v>
      </c>
      <c r="B12" s="15" t="s">
        <v>116</v>
      </c>
      <c r="C12" s="15" t="s">
        <v>117</v>
      </c>
      <c r="D12" s="15" t="s">
        <v>118</v>
      </c>
    </row>
  </sheetData>
  <mergeCells count="9">
    <mergeCell ref="B10:D10"/>
    <mergeCell ref="B8:D8"/>
    <mergeCell ref="B9:D9"/>
    <mergeCell ref="B2:D2"/>
    <mergeCell ref="B3:D3"/>
    <mergeCell ref="B4:D4"/>
    <mergeCell ref="B5:D5"/>
    <mergeCell ref="B6:D6"/>
    <mergeCell ref="B7:D7"/>
  </mergeCells>
  <conditionalFormatting sqref="A13:A1048576">
    <cfRule type="cellIs" dxfId="13" priority="1" stopIfTrue="1" operator="equal">
      <formula>"group"</formula>
    </cfRule>
    <cfRule type="cellIs" dxfId="12" priority="2" stopIfTrue="1" operator="equal">
      <formula>"subgroup"</formula>
    </cfRule>
  </conditionalFormatting>
  <dataValidations disablePrompts="1" count="1">
    <dataValidation type="list" allowBlank="1" showInputMessage="1" showErrorMessage="1" sqref="A13:A1048576" xr:uid="{9D440CAC-E633-4C16-A090-3863D2D70246}">
      <formula1>"group,subgroup,item"</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
  <sheetViews>
    <sheetView showGridLines="0" workbookViewId="0">
      <selection activeCell="A32" sqref="A32"/>
    </sheetView>
  </sheetViews>
  <sheetFormatPr defaultColWidth="0" defaultRowHeight="14.4" x14ac:dyDescent="0.3"/>
  <cols>
    <col min="1" max="1" width="175.6640625" style="16" customWidth="1"/>
    <col min="2" max="16384" width="9.109375" style="16" hidden="1"/>
  </cols>
  <sheetData>
    <row r="1" spans="1:1" x14ac:dyDescent="0.3">
      <c r="A1" s="17" t="s">
        <v>107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2"/>
  <sheetViews>
    <sheetView zoomScaleNormal="100" workbookViewId="0">
      <selection activeCell="C58" sqref="C58"/>
    </sheetView>
  </sheetViews>
  <sheetFormatPr defaultColWidth="0" defaultRowHeight="14.4" x14ac:dyDescent="0.3"/>
  <cols>
    <col min="1" max="1" width="23.109375" style="9" bestFit="1" customWidth="1"/>
    <col min="2" max="2" width="40.6640625" style="6" customWidth="1"/>
    <col min="3" max="3" width="15.44140625" style="4" customWidth="1"/>
    <col min="4" max="4" width="100.6640625" style="6" customWidth="1"/>
    <col min="5" max="5" width="0" style="1" hidden="1" customWidth="1"/>
    <col min="6" max="16384" width="12.6640625" style="1" hidden="1"/>
  </cols>
  <sheetData>
    <row r="1" spans="1:4" s="26" customFormat="1" x14ac:dyDescent="0.3">
      <c r="A1" s="26" t="s">
        <v>88</v>
      </c>
    </row>
    <row r="2" spans="1:4" x14ac:dyDescent="0.3">
      <c r="A2" s="9" t="s">
        <v>2</v>
      </c>
      <c r="B2" s="21" t="s">
        <v>100</v>
      </c>
      <c r="C2" s="21"/>
      <c r="D2" s="21"/>
    </row>
    <row r="3" spans="1:4" x14ac:dyDescent="0.3">
      <c r="A3" s="9" t="s">
        <v>89</v>
      </c>
      <c r="B3" s="21" t="s">
        <v>101</v>
      </c>
      <c r="C3" s="21"/>
      <c r="D3" s="21"/>
    </row>
    <row r="4" spans="1:4" ht="185.25" customHeight="1" x14ac:dyDescent="0.3">
      <c r="A4" s="9" t="s">
        <v>90</v>
      </c>
      <c r="B4" s="21" t="s">
        <v>108</v>
      </c>
      <c r="C4" s="21"/>
      <c r="D4" s="21"/>
    </row>
    <row r="5" spans="1:4" x14ac:dyDescent="0.3">
      <c r="A5" s="9" t="s">
        <v>91</v>
      </c>
      <c r="B5" s="21" t="str">
        <f>"Text: " &amp; TEXT(RIGHT(B6,10), "[&lt;=9999999]###-####;(###) ###-####")</f>
        <v>Text: (437) 385-8925</v>
      </c>
      <c r="C5" s="21"/>
      <c r="D5" s="21"/>
    </row>
    <row r="6" spans="1:4" x14ac:dyDescent="0.3">
      <c r="A6" s="9" t="s">
        <v>92</v>
      </c>
      <c r="B6" s="21" t="s">
        <v>175</v>
      </c>
      <c r="C6" s="21"/>
      <c r="D6" s="21"/>
    </row>
    <row r="7" spans="1:4" x14ac:dyDescent="0.3">
      <c r="A7" s="9" t="s">
        <v>93</v>
      </c>
      <c r="B7" s="21"/>
      <c r="C7" s="21"/>
      <c r="D7" s="21"/>
    </row>
    <row r="8" spans="1:4" x14ac:dyDescent="0.3">
      <c r="A8" s="9" t="s">
        <v>94</v>
      </c>
      <c r="B8" s="21"/>
      <c r="C8" s="21"/>
      <c r="D8" s="21"/>
    </row>
    <row r="9" spans="1:4" x14ac:dyDescent="0.3">
      <c r="A9" s="9" t="s">
        <v>95</v>
      </c>
      <c r="B9" s="21"/>
      <c r="C9" s="21"/>
      <c r="D9" s="21"/>
    </row>
    <row r="10" spans="1:4" x14ac:dyDescent="0.3">
      <c r="A10" s="9" t="s">
        <v>176</v>
      </c>
      <c r="B10" s="21" t="b">
        <v>1</v>
      </c>
      <c r="C10" s="21"/>
      <c r="D10" s="21"/>
    </row>
    <row r="11" spans="1:4" s="26" customFormat="1" x14ac:dyDescent="0.3">
      <c r="A11" s="26" t="s">
        <v>87</v>
      </c>
    </row>
    <row r="12" spans="1:4" s="2" customFormat="1" x14ac:dyDescent="0.3">
      <c r="A12" s="7" t="s">
        <v>0</v>
      </c>
      <c r="B12" s="8" t="s">
        <v>2</v>
      </c>
      <c r="C12" s="3" t="s">
        <v>4</v>
      </c>
      <c r="D12" s="8" t="s">
        <v>3</v>
      </c>
    </row>
    <row r="13" spans="1:4" x14ac:dyDescent="0.3">
      <c r="A13" s="9" t="s">
        <v>11</v>
      </c>
      <c r="B13" s="6" t="s">
        <v>41</v>
      </c>
    </row>
    <row r="14" spans="1:4" ht="43.2" x14ac:dyDescent="0.3">
      <c r="A14" s="9" t="s">
        <v>12</v>
      </c>
      <c r="B14" s="6" t="s">
        <v>42</v>
      </c>
      <c r="D14" s="6" t="s">
        <v>43</v>
      </c>
    </row>
    <row r="15" spans="1:4" ht="43.2" x14ac:dyDescent="0.3">
      <c r="A15" s="9" t="s">
        <v>1</v>
      </c>
      <c r="B15" s="6" t="s">
        <v>44</v>
      </c>
      <c r="C15" s="4">
        <v>95</v>
      </c>
      <c r="D15" s="6" t="s">
        <v>46</v>
      </c>
    </row>
    <row r="16" spans="1:4" ht="28.8" x14ac:dyDescent="0.3">
      <c r="A16" s="9" t="s">
        <v>1</v>
      </c>
      <c r="B16" s="6" t="s">
        <v>45</v>
      </c>
      <c r="C16" s="4">
        <v>65</v>
      </c>
      <c r="D16" s="6" t="s">
        <v>47</v>
      </c>
    </row>
    <row r="17" spans="1:4" ht="28.8" x14ac:dyDescent="0.3">
      <c r="A17" s="9" t="s">
        <v>1</v>
      </c>
      <c r="B17" s="6" t="s">
        <v>48</v>
      </c>
      <c r="C17" s="4">
        <v>70</v>
      </c>
      <c r="D17" s="6" t="s">
        <v>49</v>
      </c>
    </row>
    <row r="18" spans="1:4" ht="43.2" x14ac:dyDescent="0.3">
      <c r="A18" s="9" t="s">
        <v>12</v>
      </c>
      <c r="B18" s="6" t="s">
        <v>50</v>
      </c>
      <c r="D18" s="6" t="s">
        <v>51</v>
      </c>
    </row>
    <row r="19" spans="1:4" ht="28.8" x14ac:dyDescent="0.3">
      <c r="A19" s="9" t="s">
        <v>1</v>
      </c>
      <c r="B19" s="6" t="s">
        <v>52</v>
      </c>
      <c r="C19" s="4">
        <v>65</v>
      </c>
      <c r="D19" s="6" t="s">
        <v>53</v>
      </c>
    </row>
    <row r="20" spans="1:4" ht="43.2" x14ac:dyDescent="0.3">
      <c r="A20" s="9" t="s">
        <v>1</v>
      </c>
      <c r="B20" s="6" t="s">
        <v>54</v>
      </c>
      <c r="C20" s="4">
        <v>75</v>
      </c>
      <c r="D20" s="6" t="s">
        <v>55</v>
      </c>
    </row>
    <row r="21" spans="1:4" x14ac:dyDescent="0.3">
      <c r="A21" s="9" t="s">
        <v>12</v>
      </c>
      <c r="B21" s="6" t="s">
        <v>56</v>
      </c>
    </row>
    <row r="22" spans="1:4" x14ac:dyDescent="0.3">
      <c r="A22" s="9" t="s">
        <v>1</v>
      </c>
      <c r="B22" s="6" t="s">
        <v>57</v>
      </c>
      <c r="C22" s="4" t="s">
        <v>58</v>
      </c>
    </row>
    <row r="23" spans="1:4" ht="43.2" x14ac:dyDescent="0.3">
      <c r="A23" s="9" t="s">
        <v>1</v>
      </c>
      <c r="B23" s="6" t="s">
        <v>59</v>
      </c>
      <c r="C23" s="4" t="s">
        <v>73</v>
      </c>
    </row>
    <row r="24" spans="1:4" x14ac:dyDescent="0.3">
      <c r="A24" s="9" t="s">
        <v>11</v>
      </c>
      <c r="B24" s="6" t="s">
        <v>60</v>
      </c>
    </row>
    <row r="25" spans="1:4" x14ac:dyDescent="0.3">
      <c r="A25" s="9" t="s">
        <v>1</v>
      </c>
      <c r="B25" s="6" t="s">
        <v>61</v>
      </c>
      <c r="C25" s="4">
        <v>30</v>
      </c>
      <c r="D25" s="6" t="s">
        <v>109</v>
      </c>
    </row>
    <row r="26" spans="1:4" x14ac:dyDescent="0.3">
      <c r="A26" s="9" t="s">
        <v>1</v>
      </c>
      <c r="B26" s="6" t="s">
        <v>62</v>
      </c>
      <c r="C26" s="4">
        <v>50</v>
      </c>
      <c r="D26" s="6" t="s">
        <v>72</v>
      </c>
    </row>
    <row r="27" spans="1:4" x14ac:dyDescent="0.3">
      <c r="A27" s="9" t="s">
        <v>1</v>
      </c>
      <c r="B27" s="6" t="s">
        <v>63</v>
      </c>
      <c r="C27" s="4">
        <v>45</v>
      </c>
      <c r="D27" s="6" t="s">
        <v>71</v>
      </c>
    </row>
    <row r="28" spans="1:4" x14ac:dyDescent="0.3">
      <c r="A28" s="9" t="s">
        <v>1</v>
      </c>
      <c r="B28" s="6" t="s">
        <v>64</v>
      </c>
      <c r="C28" s="4">
        <v>55</v>
      </c>
      <c r="D28" s="6" t="s">
        <v>70</v>
      </c>
    </row>
    <row r="29" spans="1:4" ht="28.8" x14ac:dyDescent="0.3">
      <c r="A29" s="9" t="s">
        <v>1</v>
      </c>
      <c r="B29" s="6" t="s">
        <v>65</v>
      </c>
      <c r="C29" s="4" t="s">
        <v>66</v>
      </c>
      <c r="D29" s="6" t="s">
        <v>69</v>
      </c>
    </row>
    <row r="30" spans="1:4" ht="28.8" x14ac:dyDescent="0.3">
      <c r="A30" s="9" t="s">
        <v>1</v>
      </c>
      <c r="B30" s="6" t="s">
        <v>67</v>
      </c>
      <c r="C30" s="4">
        <v>60</v>
      </c>
      <c r="D30" s="6" t="s">
        <v>68</v>
      </c>
    </row>
    <row r="31" spans="1:4" x14ac:dyDescent="0.3">
      <c r="A31" s="9" t="s">
        <v>11</v>
      </c>
      <c r="B31" s="6" t="s">
        <v>37</v>
      </c>
      <c r="D31" s="6" t="s">
        <v>40</v>
      </c>
    </row>
    <row r="32" spans="1:4" x14ac:dyDescent="0.3">
      <c r="A32" s="9" t="s">
        <v>1</v>
      </c>
      <c r="B32" s="6" t="s">
        <v>38</v>
      </c>
      <c r="C32" s="4">
        <v>30</v>
      </c>
    </row>
    <row r="33" spans="1:3" x14ac:dyDescent="0.3">
      <c r="A33" s="9" t="s">
        <v>1</v>
      </c>
      <c r="B33" s="6" t="s">
        <v>39</v>
      </c>
      <c r="C33" s="4">
        <v>50</v>
      </c>
    </row>
    <row r="34" spans="1:3" x14ac:dyDescent="0.3">
      <c r="A34" s="9" t="s">
        <v>11</v>
      </c>
      <c r="B34" s="6" t="s">
        <v>5</v>
      </c>
    </row>
    <row r="35" spans="1:3" x14ac:dyDescent="0.3">
      <c r="A35" s="9" t="s">
        <v>1</v>
      </c>
      <c r="B35" s="6" t="s">
        <v>6</v>
      </c>
      <c r="C35" s="5">
        <v>160</v>
      </c>
    </row>
    <row r="36" spans="1:3" x14ac:dyDescent="0.3">
      <c r="A36" s="9" t="s">
        <v>1</v>
      </c>
      <c r="B36" s="6" t="s">
        <v>7</v>
      </c>
      <c r="C36" s="5">
        <v>60</v>
      </c>
    </row>
    <row r="37" spans="1:3" x14ac:dyDescent="0.3">
      <c r="A37" s="9" t="s">
        <v>1</v>
      </c>
      <c r="B37" s="6" t="s">
        <v>8</v>
      </c>
      <c r="C37" s="5">
        <v>70</v>
      </c>
    </row>
    <row r="38" spans="1:3" x14ac:dyDescent="0.3">
      <c r="A38" s="9" t="s">
        <v>1</v>
      </c>
      <c r="B38" s="6" t="s">
        <v>9</v>
      </c>
      <c r="C38" s="5">
        <v>80</v>
      </c>
    </row>
    <row r="39" spans="1:3" x14ac:dyDescent="0.3">
      <c r="A39" s="9" t="s">
        <v>11</v>
      </c>
      <c r="B39" s="6" t="s">
        <v>10</v>
      </c>
    </row>
    <row r="40" spans="1:3" x14ac:dyDescent="0.3">
      <c r="A40" s="9" t="s">
        <v>12</v>
      </c>
      <c r="B40" s="6" t="s">
        <v>13</v>
      </c>
    </row>
    <row r="41" spans="1:3" x14ac:dyDescent="0.3">
      <c r="A41" s="9" t="s">
        <v>1</v>
      </c>
      <c r="B41" s="6" t="s">
        <v>14</v>
      </c>
      <c r="C41" s="5">
        <v>24</v>
      </c>
    </row>
    <row r="42" spans="1:3" x14ac:dyDescent="0.3">
      <c r="A42" s="9" t="s">
        <v>1</v>
      </c>
      <c r="B42" s="6" t="s">
        <v>15</v>
      </c>
      <c r="C42" s="5">
        <v>15</v>
      </c>
    </row>
    <row r="43" spans="1:3" x14ac:dyDescent="0.3">
      <c r="A43" s="9" t="s">
        <v>1</v>
      </c>
      <c r="B43" s="6" t="s">
        <v>16</v>
      </c>
      <c r="C43" s="5">
        <v>18</v>
      </c>
    </row>
    <row r="44" spans="1:3" x14ac:dyDescent="0.3">
      <c r="A44" s="9" t="s">
        <v>1</v>
      </c>
      <c r="B44" s="6" t="s">
        <v>17</v>
      </c>
      <c r="C44" s="6">
        <v>45</v>
      </c>
    </row>
    <row r="45" spans="1:3" x14ac:dyDescent="0.3">
      <c r="A45" s="9" t="s">
        <v>12</v>
      </c>
      <c r="B45" s="6" t="s">
        <v>19</v>
      </c>
    </row>
    <row r="46" spans="1:3" x14ac:dyDescent="0.3">
      <c r="A46" s="9" t="s">
        <v>1</v>
      </c>
      <c r="B46" s="6" t="s">
        <v>18</v>
      </c>
      <c r="C46" s="4">
        <v>70</v>
      </c>
    </row>
    <row r="47" spans="1:3" x14ac:dyDescent="0.3">
      <c r="A47" s="9" t="s">
        <v>1</v>
      </c>
      <c r="B47" s="6" t="s">
        <v>20</v>
      </c>
      <c r="C47" s="4">
        <v>45</v>
      </c>
    </row>
    <row r="48" spans="1:3" x14ac:dyDescent="0.3">
      <c r="A48" s="9" t="s">
        <v>1</v>
      </c>
      <c r="B48" s="6" t="s">
        <v>21</v>
      </c>
      <c r="C48" s="4">
        <v>55</v>
      </c>
    </row>
    <row r="49" spans="1:3" x14ac:dyDescent="0.3">
      <c r="A49" s="9" t="s">
        <v>1</v>
      </c>
      <c r="B49" s="6" t="s">
        <v>22</v>
      </c>
      <c r="C49" s="4">
        <v>20</v>
      </c>
    </row>
    <row r="50" spans="1:3" x14ac:dyDescent="0.3">
      <c r="A50" s="9" t="s">
        <v>1</v>
      </c>
      <c r="B50" s="6" t="s">
        <v>23</v>
      </c>
      <c r="C50" s="4">
        <v>30</v>
      </c>
    </row>
    <row r="51" spans="1:3" x14ac:dyDescent="0.3">
      <c r="A51" s="9" t="s">
        <v>1</v>
      </c>
      <c r="B51" s="6" t="s">
        <v>24</v>
      </c>
      <c r="C51" s="4">
        <v>80</v>
      </c>
    </row>
    <row r="52" spans="1:3" x14ac:dyDescent="0.3">
      <c r="A52" s="9" t="s">
        <v>1</v>
      </c>
      <c r="B52" s="6" t="s">
        <v>25</v>
      </c>
      <c r="C52" s="4">
        <v>45</v>
      </c>
    </row>
    <row r="53" spans="1:3" x14ac:dyDescent="0.3">
      <c r="A53" s="9" t="s">
        <v>12</v>
      </c>
      <c r="B53" s="6" t="s">
        <v>27</v>
      </c>
    </row>
    <row r="54" spans="1:3" x14ac:dyDescent="0.3">
      <c r="A54" s="9" t="s">
        <v>1</v>
      </c>
      <c r="B54" s="6" t="s">
        <v>26</v>
      </c>
      <c r="C54" s="4">
        <v>130</v>
      </c>
    </row>
    <row r="55" spans="1:3" x14ac:dyDescent="0.3">
      <c r="A55" s="9" t="s">
        <v>1</v>
      </c>
      <c r="B55" s="6" t="s">
        <v>28</v>
      </c>
      <c r="C55" s="4">
        <v>115</v>
      </c>
    </row>
    <row r="56" spans="1:3" x14ac:dyDescent="0.3">
      <c r="A56" s="9" t="s">
        <v>1</v>
      </c>
      <c r="B56" s="6" t="s">
        <v>29</v>
      </c>
      <c r="C56" s="4">
        <v>85</v>
      </c>
    </row>
    <row r="57" spans="1:3" x14ac:dyDescent="0.3">
      <c r="A57" s="9" t="s">
        <v>1</v>
      </c>
      <c r="B57" s="6" t="s">
        <v>30</v>
      </c>
      <c r="C57" s="4">
        <v>34</v>
      </c>
    </row>
    <row r="58" spans="1:3" x14ac:dyDescent="0.3">
      <c r="A58" s="9" t="s">
        <v>12</v>
      </c>
      <c r="B58" s="6" t="s">
        <v>31</v>
      </c>
    </row>
    <row r="59" spans="1:3" x14ac:dyDescent="0.3">
      <c r="A59" s="9" t="s">
        <v>1</v>
      </c>
      <c r="B59" s="6" t="s">
        <v>32</v>
      </c>
      <c r="C59" s="4">
        <v>50</v>
      </c>
    </row>
    <row r="60" spans="1:3" x14ac:dyDescent="0.3">
      <c r="A60" s="9" t="s">
        <v>1</v>
      </c>
      <c r="B60" s="6" t="s">
        <v>33</v>
      </c>
      <c r="C60" s="4">
        <v>50</v>
      </c>
    </row>
    <row r="61" spans="1:3" x14ac:dyDescent="0.3">
      <c r="A61" s="9" t="s">
        <v>11</v>
      </c>
      <c r="B61" s="6" t="s">
        <v>34</v>
      </c>
    </row>
    <row r="62" spans="1:3" x14ac:dyDescent="0.3">
      <c r="A62" s="9" t="s">
        <v>1</v>
      </c>
      <c r="B62" s="6" t="s">
        <v>35</v>
      </c>
      <c r="C62" s="4">
        <v>35</v>
      </c>
    </row>
    <row r="63" spans="1:3" x14ac:dyDescent="0.3">
      <c r="A63" s="9" t="s">
        <v>1</v>
      </c>
      <c r="B63" s="6" t="s">
        <v>14</v>
      </c>
      <c r="C63" s="4">
        <v>25</v>
      </c>
    </row>
    <row r="64" spans="1:3" x14ac:dyDescent="0.3">
      <c r="A64" s="9" t="s">
        <v>1</v>
      </c>
      <c r="B64" s="6" t="s">
        <v>36</v>
      </c>
      <c r="C64" s="4">
        <v>35</v>
      </c>
    </row>
    <row r="312" spans="1:4" s="13" customFormat="1" x14ac:dyDescent="0.3">
      <c r="A312" s="10"/>
      <c r="B312" s="11" t="s">
        <v>86</v>
      </c>
      <c r="C312" s="12"/>
      <c r="D312" s="11"/>
    </row>
  </sheetData>
  <mergeCells count="11">
    <mergeCell ref="B7:D7"/>
    <mergeCell ref="B8:D8"/>
    <mergeCell ref="B9:D9"/>
    <mergeCell ref="A11:XFD11"/>
    <mergeCell ref="A1:XFD1"/>
    <mergeCell ref="B2:D2"/>
    <mergeCell ref="B3:D3"/>
    <mergeCell ref="B4:D4"/>
    <mergeCell ref="B5:D5"/>
    <mergeCell ref="B6:D6"/>
    <mergeCell ref="B10:D10"/>
  </mergeCells>
  <conditionalFormatting sqref="A13:D1048576">
    <cfRule type="expression" dxfId="11" priority="11">
      <formula>$A13="group"</formula>
    </cfRule>
    <cfRule type="expression" dxfId="10" priority="12">
      <formula>$A13="subgroup"</formula>
    </cfRule>
  </conditionalFormatting>
  <conditionalFormatting sqref="B13:B1048576">
    <cfRule type="expression" dxfId="9" priority="10">
      <formula>AND(NOT($A13=""), $B13="")</formula>
    </cfRule>
  </conditionalFormatting>
  <conditionalFormatting sqref="C13:C1048576">
    <cfRule type="expression" dxfId="8" priority="8">
      <formula>AND(OR($A13="group",$A13="subgroup"), NOT($C13=""))</formula>
    </cfRule>
    <cfRule type="expression" dxfId="7" priority="9">
      <formula>AND($A13="item", $C13="")</formula>
    </cfRule>
  </conditionalFormatting>
  <dataValidations count="1">
    <dataValidation type="list" allowBlank="1" showInputMessage="1" showErrorMessage="1" sqref="A13:A1048576" xr:uid="{E675C75D-06DC-4143-9C0E-F6DB12233072}">
      <formula1>"item, group, subgroup"</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sheetPr codeName="Sheet6"/>
  <dimension ref="A1:D64"/>
  <sheetViews>
    <sheetView workbookViewId="0">
      <selection activeCell="B10" sqref="B10:D10"/>
    </sheetView>
  </sheetViews>
  <sheetFormatPr defaultColWidth="0" defaultRowHeight="14.4" x14ac:dyDescent="0.3"/>
  <cols>
    <col min="1" max="1" width="23.109375" bestFit="1"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0" t="s">
        <v>124</v>
      </c>
      <c r="C2" s="20"/>
      <c r="D2" s="20"/>
    </row>
    <row r="3" spans="1:4" x14ac:dyDescent="0.3">
      <c r="A3" s="15" t="s">
        <v>89</v>
      </c>
      <c r="B3" s="20" t="s">
        <v>125</v>
      </c>
      <c r="C3" s="20"/>
      <c r="D3" s="20"/>
    </row>
    <row r="4" spans="1:4" ht="93" customHeight="1" x14ac:dyDescent="0.3">
      <c r="A4" s="15" t="s">
        <v>90</v>
      </c>
      <c r="B4" s="25" t="s">
        <v>126</v>
      </c>
      <c r="C4" s="20"/>
      <c r="D4" s="20"/>
    </row>
    <row r="5" spans="1:4" x14ac:dyDescent="0.3">
      <c r="A5" s="15" t="s">
        <v>110</v>
      </c>
      <c r="B5" s="20" t="str">
        <f>"Text: " &amp; TEXT(RIGHT(B6,10), "[&lt;=9999999]###-####;(###) ###-####")</f>
        <v>Text: (437) 385-8925</v>
      </c>
      <c r="C5" s="20"/>
      <c r="D5" s="20"/>
    </row>
    <row r="6" spans="1:4" x14ac:dyDescent="0.3">
      <c r="A6" s="15" t="s">
        <v>111</v>
      </c>
      <c r="B6" s="20" t="str">
        <f>Kim!B6</f>
        <v>sms:+14373858925</v>
      </c>
      <c r="C6" s="20"/>
      <c r="D6" s="20"/>
    </row>
    <row r="7" spans="1:4" x14ac:dyDescent="0.3">
      <c r="A7" s="15" t="s">
        <v>112</v>
      </c>
      <c r="B7" s="20"/>
      <c r="C7" s="20"/>
      <c r="D7" s="20"/>
    </row>
    <row r="8" spans="1:4" x14ac:dyDescent="0.3">
      <c r="A8" s="15" t="s">
        <v>113</v>
      </c>
      <c r="B8" s="20"/>
      <c r="C8" s="20"/>
      <c r="D8" s="20"/>
    </row>
    <row r="9" spans="1:4" x14ac:dyDescent="0.3">
      <c r="A9" s="15" t="s">
        <v>114</v>
      </c>
      <c r="B9" s="20"/>
      <c r="C9" s="20"/>
      <c r="D9" s="20"/>
    </row>
    <row r="10" spans="1:4" x14ac:dyDescent="0.3">
      <c r="A10" s="15" t="s">
        <v>176</v>
      </c>
      <c r="B10" s="24" t="b">
        <v>1</v>
      </c>
      <c r="C10" s="24"/>
      <c r="D10" s="24"/>
    </row>
    <row r="11" spans="1:4" s="26" customFormat="1" x14ac:dyDescent="0.3">
      <c r="A11" s="26" t="s">
        <v>87</v>
      </c>
    </row>
    <row r="12" spans="1:4" s="2" customFormat="1" x14ac:dyDescent="0.3">
      <c r="A12" s="7" t="s">
        <v>0</v>
      </c>
      <c r="B12" s="8" t="s">
        <v>2</v>
      </c>
      <c r="C12" s="3" t="s">
        <v>4</v>
      </c>
      <c r="D12" s="8" t="s">
        <v>3</v>
      </c>
    </row>
    <row r="13" spans="1:4" s="1" customFormat="1" x14ac:dyDescent="0.3">
      <c r="A13" s="9" t="s">
        <v>11</v>
      </c>
      <c r="B13" s="6" t="s">
        <v>41</v>
      </c>
      <c r="C13" s="4"/>
      <c r="D13" s="6"/>
    </row>
    <row r="14" spans="1:4" s="1" customFormat="1" ht="43.2" x14ac:dyDescent="0.3">
      <c r="A14" s="9" t="s">
        <v>12</v>
      </c>
      <c r="B14" s="6" t="s">
        <v>42</v>
      </c>
      <c r="C14" s="4"/>
      <c r="D14" s="6" t="s">
        <v>43</v>
      </c>
    </row>
    <row r="15" spans="1:4" s="1" customFormat="1" ht="43.2" x14ac:dyDescent="0.3">
      <c r="A15" s="9" t="s">
        <v>1</v>
      </c>
      <c r="B15" s="6" t="s">
        <v>44</v>
      </c>
      <c r="C15" s="4">
        <v>95</v>
      </c>
      <c r="D15" s="6" t="s">
        <v>46</v>
      </c>
    </row>
    <row r="16" spans="1:4" s="1" customFormat="1" ht="28.8" x14ac:dyDescent="0.3">
      <c r="A16" s="9" t="s">
        <v>1</v>
      </c>
      <c r="B16" s="6" t="s">
        <v>45</v>
      </c>
      <c r="C16" s="4">
        <v>65</v>
      </c>
      <c r="D16" s="6" t="s">
        <v>47</v>
      </c>
    </row>
    <row r="17" spans="1:4" s="1" customFormat="1" ht="28.8" x14ac:dyDescent="0.3">
      <c r="A17" s="9" t="s">
        <v>1</v>
      </c>
      <c r="B17" s="6" t="s">
        <v>48</v>
      </c>
      <c r="C17" s="4">
        <v>70</v>
      </c>
      <c r="D17" s="6" t="s">
        <v>49</v>
      </c>
    </row>
    <row r="18" spans="1:4" s="1" customFormat="1" ht="43.2" x14ac:dyDescent="0.3">
      <c r="A18" s="9" t="s">
        <v>12</v>
      </c>
      <c r="B18" s="6" t="s">
        <v>50</v>
      </c>
      <c r="C18" s="4"/>
      <c r="D18" s="6" t="s">
        <v>51</v>
      </c>
    </row>
    <row r="19" spans="1:4" s="1" customFormat="1" ht="28.8" x14ac:dyDescent="0.3">
      <c r="A19" s="9" t="s">
        <v>1</v>
      </c>
      <c r="B19" s="6" t="s">
        <v>52</v>
      </c>
      <c r="C19" s="4">
        <v>65</v>
      </c>
      <c r="D19" s="6" t="s">
        <v>53</v>
      </c>
    </row>
    <row r="20" spans="1:4" s="1" customFormat="1" ht="43.2" x14ac:dyDescent="0.3">
      <c r="A20" s="9" t="s">
        <v>1</v>
      </c>
      <c r="B20" s="6" t="s">
        <v>54</v>
      </c>
      <c r="C20" s="4">
        <v>75</v>
      </c>
      <c r="D20" s="6" t="s">
        <v>55</v>
      </c>
    </row>
    <row r="21" spans="1:4" s="1" customFormat="1" x14ac:dyDescent="0.3">
      <c r="A21" s="9" t="s">
        <v>12</v>
      </c>
      <c r="B21" s="6" t="s">
        <v>56</v>
      </c>
      <c r="C21" s="4"/>
      <c r="D21" s="6"/>
    </row>
    <row r="22" spans="1:4" s="1" customFormat="1" x14ac:dyDescent="0.3">
      <c r="A22" s="9" t="s">
        <v>1</v>
      </c>
      <c r="B22" s="6" t="s">
        <v>57</v>
      </c>
      <c r="C22" s="4" t="s">
        <v>58</v>
      </c>
      <c r="D22" s="6"/>
    </row>
    <row r="23" spans="1:4" s="1" customFormat="1" ht="43.2" x14ac:dyDescent="0.3">
      <c r="A23" s="9" t="s">
        <v>1</v>
      </c>
      <c r="B23" s="6" t="s">
        <v>59</v>
      </c>
      <c r="C23" s="4" t="s">
        <v>73</v>
      </c>
      <c r="D23" s="6"/>
    </row>
    <row r="24" spans="1:4" s="1" customFormat="1" x14ac:dyDescent="0.3">
      <c r="A24" s="9" t="s">
        <v>11</v>
      </c>
      <c r="B24" s="6" t="s">
        <v>60</v>
      </c>
      <c r="C24" s="4"/>
      <c r="D24" s="6"/>
    </row>
    <row r="25" spans="1:4" s="1" customFormat="1" x14ac:dyDescent="0.3">
      <c r="A25" s="9" t="s">
        <v>1</v>
      </c>
      <c r="B25" s="6" t="s">
        <v>61</v>
      </c>
      <c r="C25" s="4">
        <v>30</v>
      </c>
      <c r="D25" s="6" t="s">
        <v>109</v>
      </c>
    </row>
    <row r="26" spans="1:4" s="1" customFormat="1" x14ac:dyDescent="0.3">
      <c r="A26" s="9" t="s">
        <v>1</v>
      </c>
      <c r="B26" s="6" t="s">
        <v>62</v>
      </c>
      <c r="C26" s="4">
        <v>50</v>
      </c>
      <c r="D26" s="6" t="s">
        <v>72</v>
      </c>
    </row>
    <row r="27" spans="1:4" s="1" customFormat="1" x14ac:dyDescent="0.3">
      <c r="A27" s="9" t="s">
        <v>1</v>
      </c>
      <c r="B27" s="6" t="s">
        <v>63</v>
      </c>
      <c r="C27" s="4">
        <v>45</v>
      </c>
      <c r="D27" s="6" t="s">
        <v>71</v>
      </c>
    </row>
    <row r="28" spans="1:4" s="1" customFormat="1" x14ac:dyDescent="0.3">
      <c r="A28" s="9" t="s">
        <v>1</v>
      </c>
      <c r="B28" s="6" t="s">
        <v>64</v>
      </c>
      <c r="C28" s="4">
        <v>55</v>
      </c>
      <c r="D28" s="6" t="s">
        <v>70</v>
      </c>
    </row>
    <row r="29" spans="1:4" s="1" customFormat="1" ht="28.8" x14ac:dyDescent="0.3">
      <c r="A29" s="9" t="s">
        <v>1</v>
      </c>
      <c r="B29" s="6" t="s">
        <v>65</v>
      </c>
      <c r="C29" s="4" t="s">
        <v>66</v>
      </c>
      <c r="D29" s="6" t="s">
        <v>69</v>
      </c>
    </row>
    <row r="30" spans="1:4" s="1" customFormat="1" ht="28.8" x14ac:dyDescent="0.3">
      <c r="A30" s="9" t="s">
        <v>1</v>
      </c>
      <c r="B30" s="6" t="s">
        <v>67</v>
      </c>
      <c r="C30" s="4">
        <v>60</v>
      </c>
      <c r="D30" s="6" t="s">
        <v>68</v>
      </c>
    </row>
    <row r="31" spans="1:4" s="1" customFormat="1" x14ac:dyDescent="0.3">
      <c r="A31" s="9" t="s">
        <v>11</v>
      </c>
      <c r="B31" s="6" t="s">
        <v>37</v>
      </c>
      <c r="C31" s="4"/>
      <c r="D31" s="6" t="s">
        <v>40</v>
      </c>
    </row>
    <row r="32" spans="1:4" s="1" customFormat="1" x14ac:dyDescent="0.3">
      <c r="A32" s="9" t="s">
        <v>1</v>
      </c>
      <c r="B32" s="6" t="s">
        <v>38</v>
      </c>
      <c r="C32" s="4">
        <v>30</v>
      </c>
      <c r="D32" s="6"/>
    </row>
    <row r="33" spans="1:4" s="1" customFormat="1" x14ac:dyDescent="0.3">
      <c r="A33" s="9" t="s">
        <v>1</v>
      </c>
      <c r="B33" s="6" t="s">
        <v>39</v>
      </c>
      <c r="C33" s="4">
        <v>50</v>
      </c>
      <c r="D33" s="6"/>
    </row>
    <row r="34" spans="1:4" s="1" customFormat="1" x14ac:dyDescent="0.3">
      <c r="A34" s="9" t="s">
        <v>11</v>
      </c>
      <c r="B34" s="6" t="s">
        <v>5</v>
      </c>
      <c r="C34" s="4"/>
      <c r="D34" s="6"/>
    </row>
    <row r="35" spans="1:4" s="1" customFormat="1" x14ac:dyDescent="0.3">
      <c r="A35" s="9" t="s">
        <v>1</v>
      </c>
      <c r="B35" s="6" t="s">
        <v>6</v>
      </c>
      <c r="C35" s="5">
        <v>160</v>
      </c>
      <c r="D35" s="6"/>
    </row>
    <row r="36" spans="1:4" s="1" customFormat="1" x14ac:dyDescent="0.3">
      <c r="A36" s="9" t="s">
        <v>1</v>
      </c>
      <c r="B36" s="6" t="s">
        <v>7</v>
      </c>
      <c r="C36" s="5">
        <v>60</v>
      </c>
      <c r="D36" s="6"/>
    </row>
    <row r="37" spans="1:4" s="1" customFormat="1" x14ac:dyDescent="0.3">
      <c r="A37" s="9" t="s">
        <v>1</v>
      </c>
      <c r="B37" s="6" t="s">
        <v>8</v>
      </c>
      <c r="C37" s="5">
        <v>70</v>
      </c>
      <c r="D37" s="6"/>
    </row>
    <row r="38" spans="1:4" s="1" customFormat="1" x14ac:dyDescent="0.3">
      <c r="A38" s="9" t="s">
        <v>1</v>
      </c>
      <c r="B38" s="6" t="s">
        <v>9</v>
      </c>
      <c r="C38" s="5">
        <v>80</v>
      </c>
      <c r="D38" s="6"/>
    </row>
    <row r="39" spans="1:4" s="1" customFormat="1" x14ac:dyDescent="0.3">
      <c r="A39" s="9" t="s">
        <v>11</v>
      </c>
      <c r="B39" s="6" t="s">
        <v>10</v>
      </c>
      <c r="C39" s="4"/>
      <c r="D39" s="6"/>
    </row>
    <row r="40" spans="1:4" s="1" customFormat="1" x14ac:dyDescent="0.3">
      <c r="A40" s="9" t="s">
        <v>12</v>
      </c>
      <c r="B40" s="6" t="s">
        <v>13</v>
      </c>
      <c r="C40" s="4"/>
      <c r="D40" s="6"/>
    </row>
    <row r="41" spans="1:4" s="1" customFormat="1" x14ac:dyDescent="0.3">
      <c r="A41" s="9" t="s">
        <v>1</v>
      </c>
      <c r="B41" s="6" t="s">
        <v>14</v>
      </c>
      <c r="C41" s="5">
        <v>24</v>
      </c>
      <c r="D41" s="6"/>
    </row>
    <row r="42" spans="1:4" s="1" customFormat="1" x14ac:dyDescent="0.3">
      <c r="A42" s="9" t="s">
        <v>1</v>
      </c>
      <c r="B42" s="6" t="s">
        <v>15</v>
      </c>
      <c r="C42" s="5">
        <v>15</v>
      </c>
      <c r="D42" s="6"/>
    </row>
    <row r="43" spans="1:4" s="1" customFormat="1" x14ac:dyDescent="0.3">
      <c r="A43" s="9" t="s">
        <v>1</v>
      </c>
      <c r="B43" s="6" t="s">
        <v>16</v>
      </c>
      <c r="C43" s="5">
        <v>18</v>
      </c>
      <c r="D43" s="6"/>
    </row>
    <row r="44" spans="1:4" s="1" customFormat="1" x14ac:dyDescent="0.3">
      <c r="A44" s="9" t="s">
        <v>1</v>
      </c>
      <c r="B44" s="6" t="s">
        <v>17</v>
      </c>
      <c r="C44" s="6">
        <v>45</v>
      </c>
      <c r="D44" s="6"/>
    </row>
    <row r="45" spans="1:4" s="1" customFormat="1" x14ac:dyDescent="0.3">
      <c r="A45" s="9" t="s">
        <v>12</v>
      </c>
      <c r="B45" s="6" t="s">
        <v>19</v>
      </c>
      <c r="C45" s="4"/>
      <c r="D45" s="6"/>
    </row>
    <row r="46" spans="1:4" s="1" customFormat="1" x14ac:dyDescent="0.3">
      <c r="A46" s="9" t="s">
        <v>1</v>
      </c>
      <c r="B46" s="6" t="s">
        <v>18</v>
      </c>
      <c r="C46" s="4">
        <v>70</v>
      </c>
      <c r="D46" s="6"/>
    </row>
    <row r="47" spans="1:4" s="1" customFormat="1" x14ac:dyDescent="0.3">
      <c r="A47" s="9" t="s">
        <v>1</v>
      </c>
      <c r="B47" s="6" t="s">
        <v>20</v>
      </c>
      <c r="C47" s="4">
        <v>45</v>
      </c>
      <c r="D47" s="6"/>
    </row>
    <row r="48" spans="1:4" s="1" customFormat="1" x14ac:dyDescent="0.3">
      <c r="A48" s="9" t="s">
        <v>1</v>
      </c>
      <c r="B48" s="6" t="s">
        <v>21</v>
      </c>
      <c r="C48" s="4">
        <v>55</v>
      </c>
      <c r="D48" s="6"/>
    </row>
    <row r="49" spans="1:4" s="1" customFormat="1" x14ac:dyDescent="0.3">
      <c r="A49" s="9" t="s">
        <v>1</v>
      </c>
      <c r="B49" s="6" t="s">
        <v>22</v>
      </c>
      <c r="C49" s="4">
        <v>20</v>
      </c>
      <c r="D49" s="6"/>
    </row>
    <row r="50" spans="1:4" s="1" customFormat="1" x14ac:dyDescent="0.3">
      <c r="A50" s="9" t="s">
        <v>1</v>
      </c>
      <c r="B50" s="6" t="s">
        <v>23</v>
      </c>
      <c r="C50" s="4">
        <v>30</v>
      </c>
      <c r="D50" s="6"/>
    </row>
    <row r="51" spans="1:4" s="1" customFormat="1" x14ac:dyDescent="0.3">
      <c r="A51" s="9" t="s">
        <v>1</v>
      </c>
      <c r="B51" s="6" t="s">
        <v>24</v>
      </c>
      <c r="C51" s="4">
        <v>80</v>
      </c>
      <c r="D51" s="6"/>
    </row>
    <row r="52" spans="1:4" s="1" customFormat="1" x14ac:dyDescent="0.3">
      <c r="A52" s="9" t="s">
        <v>1</v>
      </c>
      <c r="B52" s="6" t="s">
        <v>25</v>
      </c>
      <c r="C52" s="4">
        <v>45</v>
      </c>
      <c r="D52" s="6"/>
    </row>
    <row r="53" spans="1:4" s="1" customFormat="1" x14ac:dyDescent="0.3">
      <c r="A53" s="9" t="s">
        <v>12</v>
      </c>
      <c r="B53" s="6" t="s">
        <v>27</v>
      </c>
      <c r="C53" s="4"/>
      <c r="D53" s="6"/>
    </row>
    <row r="54" spans="1:4" s="1" customFormat="1" x14ac:dyDescent="0.3">
      <c r="A54" s="9" t="s">
        <v>1</v>
      </c>
      <c r="B54" s="6" t="s">
        <v>26</v>
      </c>
      <c r="C54" s="4">
        <v>130</v>
      </c>
      <c r="D54" s="6"/>
    </row>
    <row r="55" spans="1:4" s="1" customFormat="1" x14ac:dyDescent="0.3">
      <c r="A55" s="9" t="s">
        <v>1</v>
      </c>
      <c r="B55" s="6" t="s">
        <v>28</v>
      </c>
      <c r="C55" s="4">
        <v>115</v>
      </c>
      <c r="D55" s="6"/>
    </row>
    <row r="56" spans="1:4" s="1" customFormat="1" x14ac:dyDescent="0.3">
      <c r="A56" s="9" t="s">
        <v>1</v>
      </c>
      <c r="B56" s="6" t="s">
        <v>29</v>
      </c>
      <c r="C56" s="4">
        <v>85</v>
      </c>
      <c r="D56" s="6"/>
    </row>
    <row r="57" spans="1:4" s="1" customFormat="1" x14ac:dyDescent="0.3">
      <c r="A57" s="9" t="s">
        <v>1</v>
      </c>
      <c r="B57" s="6" t="s">
        <v>30</v>
      </c>
      <c r="C57" s="4">
        <v>34</v>
      </c>
      <c r="D57" s="6"/>
    </row>
    <row r="58" spans="1:4" s="1" customFormat="1" x14ac:dyDescent="0.3">
      <c r="A58" s="9" t="s">
        <v>12</v>
      </c>
      <c r="B58" s="6" t="s">
        <v>31</v>
      </c>
      <c r="C58" s="4"/>
      <c r="D58" s="6"/>
    </row>
    <row r="59" spans="1:4" s="1" customFormat="1" x14ac:dyDescent="0.3">
      <c r="A59" s="9" t="s">
        <v>1</v>
      </c>
      <c r="B59" s="6" t="s">
        <v>32</v>
      </c>
      <c r="C59" s="4">
        <v>50</v>
      </c>
      <c r="D59" s="6"/>
    </row>
    <row r="60" spans="1:4" s="1" customFormat="1" x14ac:dyDescent="0.3">
      <c r="A60" s="9" t="s">
        <v>1</v>
      </c>
      <c r="B60" s="6" t="s">
        <v>33</v>
      </c>
      <c r="C60" s="4">
        <v>50</v>
      </c>
      <c r="D60" s="6"/>
    </row>
    <row r="61" spans="1:4" s="1" customFormat="1" x14ac:dyDescent="0.3">
      <c r="A61" s="9" t="s">
        <v>11</v>
      </c>
      <c r="B61" s="6" t="s">
        <v>34</v>
      </c>
      <c r="C61" s="4"/>
      <c r="D61" s="6"/>
    </row>
    <row r="62" spans="1:4" s="1" customFormat="1" x14ac:dyDescent="0.3">
      <c r="A62" s="9" t="s">
        <v>1</v>
      </c>
      <c r="B62" s="6" t="s">
        <v>35</v>
      </c>
      <c r="C62" s="4">
        <v>35</v>
      </c>
      <c r="D62" s="6"/>
    </row>
    <row r="63" spans="1:4" s="1" customFormat="1" x14ac:dyDescent="0.3">
      <c r="A63" s="9" t="s">
        <v>1</v>
      </c>
      <c r="B63" s="6" t="s">
        <v>14</v>
      </c>
      <c r="C63" s="4">
        <v>25</v>
      </c>
      <c r="D63" s="6"/>
    </row>
    <row r="64" spans="1:4" s="1" customFormat="1" x14ac:dyDescent="0.3">
      <c r="A64" s="9" t="s">
        <v>1</v>
      </c>
      <c r="B64" s="6" t="s">
        <v>36</v>
      </c>
      <c r="C64" s="4">
        <v>35</v>
      </c>
      <c r="D64" s="6"/>
    </row>
  </sheetData>
  <mergeCells count="10">
    <mergeCell ref="B8:D8"/>
    <mergeCell ref="B9:D9"/>
    <mergeCell ref="A11:XFD11"/>
    <mergeCell ref="B2:D2"/>
    <mergeCell ref="B3:D3"/>
    <mergeCell ref="B4:D4"/>
    <mergeCell ref="B5:D5"/>
    <mergeCell ref="B6:D6"/>
    <mergeCell ref="B7:D7"/>
    <mergeCell ref="B10:D10"/>
  </mergeCells>
  <conditionalFormatting sqref="A65:A1048576">
    <cfRule type="cellIs" dxfId="6" priority="6" stopIfTrue="1" operator="equal">
      <formula>"group"</formula>
    </cfRule>
    <cfRule type="cellIs" dxfId="5" priority="7" stopIfTrue="1" operator="equal">
      <formula>"subgroup"</formula>
    </cfRule>
  </conditionalFormatting>
  <conditionalFormatting sqref="A13:D64">
    <cfRule type="expression" dxfId="4" priority="4">
      <formula>$A13="group"</formula>
    </cfRule>
    <cfRule type="expression" dxfId="3" priority="5">
      <formula>$A13="subgroup"</formula>
    </cfRule>
  </conditionalFormatting>
  <conditionalFormatting sqref="B13:B64">
    <cfRule type="expression" dxfId="2" priority="3">
      <formula>AND(NOT($A13=""), $B13="")</formula>
    </cfRule>
  </conditionalFormatting>
  <conditionalFormatting sqref="C13:C64">
    <cfRule type="expression" dxfId="1" priority="1">
      <formula>AND(OR($A13="group",$A13="subgroup"), NOT($C13=""))</formula>
    </cfRule>
    <cfRule type="expression" dxfId="0" priority="2">
      <formula>AND($A13="item", $C13="")</formula>
    </cfRule>
  </conditionalFormatting>
  <dataValidations disablePrompts="1" count="2">
    <dataValidation type="list" allowBlank="1" showInputMessage="1" showErrorMessage="1" sqref="A65:A1048576" xr:uid="{3CCC64B3-8365-49E7-B151-B3F4288E2337}">
      <formula1>"group,subgroup,item"</formula1>
    </dataValidation>
    <dataValidation type="list" allowBlank="1" showInputMessage="1" showErrorMessage="1" sqref="A13:A64" xr:uid="{48D7143C-E525-49DB-9296-B086A3A432AA}">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Rhonda</vt:lpstr>
      <vt:lpstr>Victoria</vt:lpstr>
      <vt:lpstr>Amanda</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dcterms:created xsi:type="dcterms:W3CDTF">2023-08-26T02:20:05Z</dcterms:created>
  <dcterms:modified xsi:type="dcterms:W3CDTF">2025-04-23T00:44:23Z</dcterms:modified>
</cp:coreProperties>
</file>