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_v1\"/>
    </mc:Choice>
  </mc:AlternateContent>
  <xr:revisionPtr revIDLastSave="0" documentId="13_ncr:1_{D72CFA0E-1BA0-46BA-B6D4-6051FAD2228B}" xr6:coauthVersionLast="47" xr6:coauthVersionMax="47" xr10:uidLastSave="{00000000-0000-0000-0000-000000000000}"/>
  <bookViews>
    <workbookView xWindow="-108" yWindow="-108" windowWidth="23256" windowHeight="12456" xr2:uid="{C6EC0059-46D8-497B-99E1-DFA4A7A4168A}"/>
  </bookViews>
  <sheets>
    <sheet name="COVER PAGE" sheetId="7" r:id="rId1"/>
    <sheet name="Rhonda" sheetId="76" r:id="rId2"/>
    <sheet name="Kat" sheetId="79" r:id="rId3"/>
    <sheet name="Jenna" sheetId="78" r:id="rId4"/>
    <sheet name="Faith" sheetId="73" r:id="rId5"/>
    <sheet name="ORCHID ROOM" sheetId="72" r:id="rId6"/>
    <sheet name="Kim" sheetId="77" r:id="rId7"/>
    <sheet name="Megan" sheetId="74" r:id="rId8"/>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74" l="1"/>
  <c r="B5" i="74" s="1"/>
  <c r="B5" i="77"/>
  <c r="B7" i="76"/>
  <c r="B5" i="76"/>
  <c r="B7" i="73"/>
</calcChain>
</file>

<file path=xl/sharedStrings.xml><?xml version="1.0" encoding="utf-8"?>
<sst xmlns="http://schemas.openxmlformats.org/spreadsheetml/2006/main" count="482" uniqueCount="186">
  <si>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</si>
  <si>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</si>
  <si>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</si>
  <si>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</si>
  <si>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</si>
  <si>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</si>
  <si>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</si>
  <si>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</si>
  <si>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</si>
  <si>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</si>
  <si>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</si>
  <si>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</si>
  <si>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</si>
  <si>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</si>
  <si>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</si>
  <si>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</si>
  <si>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</si>
  <si>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</si>
  <si>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</si>
  <si>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</si>
  <si>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</si>
  <si>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</si>
  <si>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</si>
  <si>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</si>
  <si>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</si>
  <si>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</si>
  <si>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</si>
  <si>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</si>
  <si>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</si>
  <si>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</si>
  <si>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</si>
  <si>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</si>
  <si>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</si>
  <si>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</si>
  <si>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</si>
  <si>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</si>
  <si>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</si>
  <si>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</si>
  <si>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</si>
  <si>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</si>
  <si>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</si>
  <si>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</si>
  <si>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</si>
  <si>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</si>
  <si>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</si>
  <si>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</si>
  <si>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</si>
  <si>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</si>
  <si>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</si>
  <si>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</si>
  <si>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</si>
  <si>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</si>
  <si>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</si>
  <si>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</si>
  <si>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</si>
  <si>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</si>
  <si>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</si>
  <si>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</si>
  <si>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</si>
  <si>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</si>
  <si>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</si>
  <si>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</si>
  <si>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</si>
  <si>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</si>
  <si>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</si>
  <si>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</si>
  <si>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</si>
  <si>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</si>
  <si>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</si>
  <si>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</si>
  <si>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</si>
  <si>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</si>
  <si>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</si>
  <si>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</si>
  <si>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</si>
  <si>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</si>
  <si>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</si>
  <si>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</si>
  <si>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</si>
  <si>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</si>
  <si>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</si>
  <si>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</si>
  <si>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</si>
  <si>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</si>
  <si>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$250+</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</si>
  <si>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</si>
  <si>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</si>
  <si>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</si>
  <si>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</si>
  <si>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</si>
  <si>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</si>
  <si>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</si>
  <si>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</si>
  <si>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</si>
  <si>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</si>
  <si>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</si>
  <si>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</si>
  <si>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</si>
  <si>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</si>
  <si>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</si>
  <si>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</si>
  <si>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Book Online</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</si>
  <si>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</si>
  <si>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</si>
  <si>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</si>
  <si>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</si>
  <si>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</si>
  <si>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</si>
  <si>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</si>
  <si>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</si>
  <si>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</si>
  <si>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</si>
  <si>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</si>
  <si>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</si>
  <si>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Junior Hairstylist</t>
  </si>
  <si>
    <t>https://squareup.com/appointments/book/k2t8zozwpu8n5w/LZ0J6HENZDD2W/start</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</si>
  <si>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</si>
  <si>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</si>
  <si>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</si>
  <si>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Full Colour</t>
  </si>
  <si>
    <t>$125+</t>
  </si>
  <si>
    <t>$80+</t>
  </si>
  <si>
    <t>$130+</t>
  </si>
  <si>
    <t>Wash</t>
  </si>
  <si>
    <t>$10+</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</si>
  <si>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</si>
  <si>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</si>
  <si>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</si>
  <si>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</si>
  <si>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</si>
  <si>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</si>
  <si>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</si>
  <si>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</si>
  <si>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</si>
  <si>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</si>
  <si>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</si>
  <si>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</si>
  <si>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Foilayage</t>
  </si>
  <si>
    <t>$200+</t>
  </si>
  <si>
    <t>Ombre</t>
  </si>
  <si>
    <t>Three-Quarter Highlights</t>
  </si>
  <si>
    <t>$350+</t>
  </si>
  <si>
    <t>$450+</t>
  </si>
  <si>
    <t>Colour Correction</t>
  </si>
  <si>
    <t>Partial Extensions</t>
  </si>
  <si>
    <t>Three-Quarter Extensions</t>
  </si>
  <si>
    <t>Full Extensions</t>
  </si>
  <si>
    <t>Fusion Hair Extensions</t>
  </si>
  <si>
    <t>sms:+14373858925</t>
  </si>
  <si>
    <t>Is Accepting New Clients</t>
  </si>
  <si>
    <t>Faith Vannoord</t>
  </si>
  <si>
    <t>Special! 10% off all services when you book with Faith! Please note that the listed prices include the discount.\nAs an up and coming hairstylist, Faith is dedicated to providing personalized services to enhance your natural beauty. Passionate about the latest trends and dedicated to making you feel your best, Faith is excited to bring her education to life behind the chair. Book with Faith today to walk out feeling confident in a style that is all you!</t>
  </si>
  <si>
    <t>KEYWORDS: "Special", "Important" = Bold</t>
  </si>
  <si>
    <t>Ages 10 and Under</t>
  </si>
  <si>
    <t>$37+</t>
  </si>
  <si>
    <t>$27+</t>
  </si>
  <si>
    <t>Undercut</t>
  </si>
  <si>
    <t>Bang Trim</t>
  </si>
  <si>
    <t>Beard Trim</t>
  </si>
  <si>
    <t>Toner for Short Hair</t>
  </si>
  <si>
    <t>Toner for Long Hair</t>
  </si>
  <si>
    <t>$55+</t>
  </si>
  <si>
    <t>Colours &amp; Toner</t>
  </si>
  <si>
    <t>Express Root Retouch</t>
  </si>
  <si>
    <t>Root Retouch</t>
  </si>
  <si>
    <t>Please note that all colour services require varying amounts of product depending on hair type and length. If additional product is required, a charge of $12.50 per bowl will be added.</t>
  </si>
  <si>
    <t>The express root retouch features a quick 9 minute processing time! As only common colours are avaliable, first time clients are recommended to book a regular root retouch and then inquire during the appointment if an express retouch can be used for your hair.</t>
  </si>
  <si>
    <t>$260+</t>
  </si>
  <si>
    <t>Partial Highlights for Short Hair</t>
  </si>
  <si>
    <t>Partial Highlights for Long Hair</t>
  </si>
  <si>
    <t>Three-Quarter Highlights for Short Hair</t>
  </si>
  <si>
    <t>Three-Quarter Highlights for Long Hair</t>
  </si>
  <si>
    <t>Full Highlights for Short Hair</t>
  </si>
  <si>
    <t>Full Highlights for Long Hair</t>
  </si>
  <si>
    <t>$150+</t>
  </si>
  <si>
    <t>$175+</t>
  </si>
  <si>
    <t>$100+</t>
  </si>
  <si>
    <t>$5 per Nail, $20 per 5 Nails, $30 per 10 Nails</t>
  </si>
  <si>
    <t>Hairstylist</t>
  </si>
  <si>
    <t>Kat Feairs</t>
  </si>
  <si>
    <t>Kat is a licensed stylist who has been in the hair industry for over 17 years. Being a St.Thomas local born and raised, Kat has had the best experience getting to know the town she grew up in through each client that has sat in her chair. She specializes in highlighting, cut, colouring and balayage.\nKat is dedicated to getting to know her clients and customizing their colour to fully suit their lifestyle. Low maintenance and natural tones to are Kat's favourite to help her clients feel their best while also having beautiful longevity.</t>
  </si>
  <si>
    <t>https://www.instagram.com/kat.feairs.hair/</t>
  </si>
  <si>
    <t>Jenna Shortt</t>
  </si>
  <si>
    <t>https://www.instagram.com/hairbyjennashortt/</t>
  </si>
  <si>
    <t>Book on Instagram</t>
  </si>
  <si>
    <t>With over 10.5 years behind the chair, Jenna truly found her passion in creating beautiful, dimensional lived-in hair - especially balayage, foilage, and highlights. There's nothing she loves more than seeing her clients light up and leave feeling like the best, most confident version of themselves. Jenna strongly believes that healthy hair is everything, and that what you do at home is just as important-if not more-than what we do in the salon.\nJenna specializes in lived-in blondes and brunettes that grow out seamlessly and fit effortlessly into your everyday lifestyle. She is always staying up to date with the latest trends to bring fresh, modern looks to her clients. At the moment, Jenna is not accepting new clients, but feel free to send her a message through Instagram direct message to be added to her waitlist in case of cancellations. She posts last-minute openings to her Instagram stories - first come, first serve. Jenna can't wait to have you in her chair at Luxe!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</si>
</sst>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2">
    <border>
      <left/>
      <right/>
      <top/>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6" fillId="0" borderId="0" applyNumberFormat="0" applyFill="0" applyBorder="0" applyAlignment="0" applyProtection="0"/>
  </cellStyleXfs>
  <cellXfs count="27">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1" xfId="0" applyBorder="1"/>
    <xf numFmtId="0" fontId="3" fillId="4" borderId="0" xfId="0" applyFont="1" applyFill="1" applyAlignment="1">
      <alignment wrapText="1"/>
    </xf>
    <xf numFmtId="0" fontId="1" fillId="5" borderId="0" xfId="0" applyFont="1" applyFill="1" applyAlignment="1">
      <alignment wrapText="1"/>
    </xf>
    <xf numFmtId="0" fontId="0" fillId="0" borderId="1" xfId="0" applyBorder="1" applyAlignment="1">
      <alignment wrapText="1"/>
    </xf>
    <xf numFmtId="0" fontId="0" fillId="0" borderId="0" xfId="0"/>
    <xf numFmtId="0" fontId="0" fillId="0" borderId="0" xfId="0" applyAlignment="1" applyProtection="1">
      <alignment horizontal="left" vertical="top" wrapText="1"/>
      <protection locked="0"/>
    </xf>
    <xf numFmtId="0" fontId="0" fillId="0" borderId="0" xfId="0" applyAlignment="1" applyProtection="1">
      <alignment horizontal="left" vertical="top"/>
      <protection locked="0"/>
    </xf>
    <xf numFmtId="0" fontId="0" fillId="0" borderId="0" xfId="0" applyAlignment="1">
      <alignment horizontal="left"/>
    </xf>
    <xf numFmtId="0" fontId="6" fillId="0" borderId="0" xfId="1" applyAlignment="1">
      <alignment horizontal="left"/>
    </xf>
    <xf numFmtId="0" fontId="0" fillId="0" borderId="0" xfId="0" applyAlignment="1">
      <alignment horizontal="left" wrapText="1"/>
    </xf>
    <xf numFmtId="0" fontId="0" fillId="0" borderId="0" xfId="0" applyAlignment="1">
      <alignment wrapText="1"/>
    </xf>
    <xf numFmtId="0" fontId="5" fillId="3" borderId="0" xfId="0" applyFont="1" applyFill="1" applyAlignment="1" applyProtection="1">
      <alignment horizontal="left" vertical="top"/>
      <protection locked="0"/>
    </xf>
  </cellXfs>
  <cellStyles count="2">
    <cellStyle name="Hyperlink" xfId="1" builtinId="8"/>
    <cellStyle name="Normal" xfId="0" builtinId="0"/>
  </cellStyles>
  <dxfs count="47">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FF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FF"/>
        </patternFill>
      </fill>
    </dxf>
    <dxf>
      <fill>
        <patternFill>
          <bgColor rgb="FFF2F2F2"/>
        </patternFill>
      </fill>
    </dxf>
    <dxf>
      <font>
        <b/>
        <i val="0"/>
      </font>
      <fill>
        <patternFill>
          <bgColor rgb="FFD9D9D9"/>
        </patternFill>
      </fill>
      <border>
        <top style="thin">
          <color rgb="FF000000"/>
        </top>
      </border>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6941820</xdr:colOff>
          <xdr:row>16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4137660</xdr:colOff>
          <xdr:row>13</xdr:row>
          <xdr:rowOff>38100</xdr:rowOff>
        </xdr:from>
        <xdr:to>
          <xdr:col>0</xdr:col>
          <xdr:colOff>5212080</xdr:colOff>
          <xdr:row>16</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hyperlink" Target="https://www.instagram.com/kat.feairs.hair/" TargetMode="External"/><Relationship Id="rId1" Type="http://schemas.openxmlformats.org/officeDocument/2006/relationships/hyperlink" Target="https://www.instagram.com/kat.feairs.hair/"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www.instagram.com/hairbyjennashortt/" TargetMode="External"/><Relationship Id="rId1" Type="http://schemas.openxmlformats.org/officeDocument/2006/relationships/hyperlink" Target="https://www.instagram.com/hairbyjennashort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pageSetUpPr fitToPage="1"/>
  </sheetPr>
  <dimension ref="A1"/>
  <sheetViews>
    <sheetView showGridLines="0" tabSelected="1" workbookViewId="0"/>
  </sheetViews>
  <sheetFormatPr defaultColWidth="0" defaultRowHeight="14.4" x14ac:dyDescent="0.3"/>
  <cols>
    <col min="1" max="1" width="175.6640625" style="12" customWidth="1"/>
    <col min="2" max="16384" width="9.109375" style="12" hidden="1"/>
  </cols>
  <sheetData>
    <row r="1" spans="1:1" x14ac:dyDescent="0.3">
      <c r="A1" s="14" t="s">
        <v>152</v>
      </c>
    </row>
  </sheetData>
  <pageMargins left="0.7" right="0.7" top="0.75" bottom="0.75" header="0.3" footer="0.3"/>
  <pageSetup scale="6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TextFile">
                <anchor moveWithCells="1" sizeWithCells="1">
                  <from>
                    <xdr:col>0</xdr:col>
                    <xdr:colOff>5867400</xdr:colOff>
                    <xdr:row>13</xdr:row>
                    <xdr:rowOff>38100</xdr:rowOff>
                  </from>
                  <to>
                    <xdr:col>0</xdr:col>
                    <xdr:colOff>6941820</xdr:colOff>
                    <xdr:row>16</xdr:row>
                    <xdr:rowOff>7620</xdr:rowOff>
                  </to>
                </anchor>
              </controlPr>
            </control>
          </mc:Choice>
        </mc:AlternateContent>
        <mc:AlternateContent xmlns:mc="http://schemas.openxmlformats.org/markup-compatibility/2006">
          <mc:Choice Requires="x14">
            <control shapeId="1026" r:id="rId5" name="Button 2">
              <controlPr defaultSize="0" print="0" autoFill="0" autoPict="0" macro="[0]!CreateNewSheet">
                <anchor moveWithCells="1" sizeWithCells="1">
                  <from>
                    <xdr:col>0</xdr:col>
                    <xdr:colOff>4137660</xdr:colOff>
                    <xdr:row>13</xdr:row>
                    <xdr:rowOff>38100</xdr:rowOff>
                  </from>
                  <to>
                    <xdr:col>0</xdr:col>
                    <xdr:colOff>5212080</xdr:colOff>
                    <xdr:row>16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498E8-3C8D-40B1-8425-87B82D821C00}">
  <sheetPr>
    <pageSetUpPr fitToPage="1"/>
  </sheetPr>
  <dimension ref="A1:D54"/>
  <sheetViews>
    <sheetView zoomScale="79" workbookViewId="0">
      <selection activeCell="B4" sqref="B4:D4"/>
    </sheetView>
  </sheetViews>
  <sheetFormatPr defaultColWidth="0" defaultRowHeight="14.4" x14ac:dyDescent="0.3"/>
  <cols>
    <col min="1" max="1" width="25.6640625" style="15" customWidth="1"/>
    <col min="2" max="2" width="40.6640625" style="15" customWidth="1"/>
    <col min="3" max="3" width="15.6640625" style="15" customWidth="1"/>
    <col min="4" max="4" width="100.6640625" style="15" customWidth="1"/>
    <col min="5" max="16384" width="8.88671875" style="15" hidden="1"/>
  </cols>
  <sheetData>
    <row r="1" spans="1:4" s="10" customFormat="1" x14ac:dyDescent="0.3">
      <c r="A1" s="10" t="s">
        <v>86</v>
      </c>
    </row>
    <row r="2" spans="1:4" customFormat="1" x14ac:dyDescent="0.3">
      <c r="A2" s="11" t="s">
        <v>2</v>
      </c>
      <c r="B2" s="20" t="s">
        <v>94</v>
      </c>
      <c r="C2" s="20"/>
      <c r="D2" s="20"/>
    </row>
    <row r="3" spans="1:4" customFormat="1" x14ac:dyDescent="0.3">
      <c r="A3" s="11" t="s">
        <v>87</v>
      </c>
      <c r="B3" s="20" t="s">
        <v>95</v>
      </c>
      <c r="C3" s="20"/>
      <c r="D3" s="20"/>
    </row>
    <row r="4" spans="1:4" customFormat="1" x14ac:dyDescent="0.3">
      <c r="A4" s="11" t="s">
        <v>88</v>
      </c>
      <c r="B4" s="21" t="s">
        <v>96</v>
      </c>
      <c r="C4" s="21"/>
      <c r="D4" s="21"/>
    </row>
    <row r="5" spans="1:4" customFormat="1" x14ac:dyDescent="0.3">
      <c r="A5" s="11" t="s">
        <v>89</v>
      </c>
      <c r="B5" s="20" t="str">
        <f>"Text: " &amp; TEXT(RIGHT(B6,10), "[&lt;=9999999]###-####;(###) ###-####")</f>
        <v>Text: (226) 998-1227</v>
      </c>
      <c r="C5" s="20"/>
      <c r="D5" s="20"/>
    </row>
    <row r="6" spans="1:4" customFormat="1" x14ac:dyDescent="0.3">
      <c r="A6" s="11" t="s">
        <v>90</v>
      </c>
      <c r="B6" s="20" t="s">
        <v>97</v>
      </c>
      <c r="C6" s="20"/>
      <c r="D6" s="20"/>
    </row>
    <row r="7" spans="1:4" customFormat="1" x14ac:dyDescent="0.3">
      <c r="A7" s="11" t="s">
        <v>91</v>
      </c>
      <c r="B7" s="20" t="str">
        <f>"Call: " &amp; TEXT(RIGHT(B8,10), "[&lt;=9999999]###-####;(###) ###-####")</f>
        <v>Call: (519) 207-1111</v>
      </c>
      <c r="C7" s="20"/>
      <c r="D7" s="20"/>
    </row>
    <row r="8" spans="1:4" customFormat="1" x14ac:dyDescent="0.3">
      <c r="A8" s="11" t="s">
        <v>92</v>
      </c>
      <c r="B8" s="19" t="s">
        <v>100</v>
      </c>
      <c r="C8" s="19"/>
      <c r="D8" s="19"/>
    </row>
    <row r="9" spans="1:4" customFormat="1" x14ac:dyDescent="0.3">
      <c r="A9" s="11" t="s">
        <v>93</v>
      </c>
      <c r="B9" s="20"/>
      <c r="C9" s="20"/>
      <c r="D9" s="20"/>
    </row>
    <row r="10" spans="1:4" customFormat="1" x14ac:dyDescent="0.3">
      <c r="A10" s="11" t="s">
        <v>149</v>
      </c>
      <c r="B10" s="20" t="b">
        <v>0</v>
      </c>
      <c r="C10" s="20"/>
      <c r="D10" s="20"/>
    </row>
    <row r="11" spans="1:4" s="10" customFormat="1" x14ac:dyDescent="0.3">
      <c r="A11" s="10" t="s">
        <v>85</v>
      </c>
    </row>
    <row r="12" spans="1:4" s="11" customFormat="1" x14ac:dyDescent="0.3">
      <c r="A12" s="11" t="s">
        <v>110</v>
      </c>
      <c r="B12" s="11" t="s">
        <v>111</v>
      </c>
      <c r="C12" s="11" t="s">
        <v>112</v>
      </c>
      <c r="D12" s="11" t="s">
        <v>113</v>
      </c>
    </row>
    <row r="13" spans="1:4" x14ac:dyDescent="0.3">
      <c r="A13" s="9" t="s">
        <v>11</v>
      </c>
      <c r="B13" s="6" t="s">
        <v>74</v>
      </c>
      <c r="C13" s="4"/>
      <c r="D13" s="6" t="s">
        <v>125</v>
      </c>
    </row>
    <row r="14" spans="1:4" x14ac:dyDescent="0.3">
      <c r="A14" s="9" t="s">
        <v>1</v>
      </c>
      <c r="B14" s="6" t="s">
        <v>75</v>
      </c>
      <c r="C14" s="4" t="s">
        <v>154</v>
      </c>
      <c r="D14" s="6"/>
    </row>
    <row r="15" spans="1:4" x14ac:dyDescent="0.3">
      <c r="A15" s="9" t="s">
        <v>1</v>
      </c>
      <c r="B15" s="6" t="s">
        <v>76</v>
      </c>
      <c r="C15" s="4" t="s">
        <v>155</v>
      </c>
      <c r="D15" s="6"/>
    </row>
    <row r="16" spans="1:4" x14ac:dyDescent="0.3">
      <c r="A16" s="9" t="s">
        <v>1</v>
      </c>
      <c r="B16" s="6" t="s">
        <v>77</v>
      </c>
      <c r="C16" s="4" t="s">
        <v>155</v>
      </c>
      <c r="D16" s="6" t="s">
        <v>153</v>
      </c>
    </row>
    <row r="17" spans="1:4" x14ac:dyDescent="0.3">
      <c r="A17" s="9" t="s">
        <v>1</v>
      </c>
      <c r="B17" s="6" t="s">
        <v>156</v>
      </c>
      <c r="C17" s="4">
        <v>17</v>
      </c>
      <c r="D17" s="6"/>
    </row>
    <row r="18" spans="1:4" x14ac:dyDescent="0.3">
      <c r="A18" s="9" t="s">
        <v>1</v>
      </c>
      <c r="B18" s="6" t="s">
        <v>157</v>
      </c>
      <c r="C18" s="4">
        <v>17</v>
      </c>
      <c r="D18" s="6"/>
    </row>
    <row r="19" spans="1:4" x14ac:dyDescent="0.3">
      <c r="A19" s="9" t="s">
        <v>1</v>
      </c>
      <c r="B19" s="6" t="s">
        <v>158</v>
      </c>
      <c r="C19" s="4">
        <v>17</v>
      </c>
      <c r="D19" s="6"/>
    </row>
    <row r="20" spans="1:4" x14ac:dyDescent="0.3">
      <c r="A20" s="9" t="s">
        <v>12</v>
      </c>
      <c r="B20" s="6" t="s">
        <v>126</v>
      </c>
      <c r="C20" s="4"/>
      <c r="D20" s="6"/>
    </row>
    <row r="21" spans="1:4" x14ac:dyDescent="0.3">
      <c r="A21" s="9" t="s">
        <v>1</v>
      </c>
      <c r="B21" s="6" t="s">
        <v>123</v>
      </c>
      <c r="C21" s="4">
        <v>5</v>
      </c>
      <c r="D21" s="6"/>
    </row>
    <row r="22" spans="1:4" x14ac:dyDescent="0.3">
      <c r="A22" s="9" t="s">
        <v>1</v>
      </c>
      <c r="B22" s="6" t="s">
        <v>127</v>
      </c>
      <c r="C22" s="4">
        <v>5</v>
      </c>
      <c r="D22" s="6" t="s">
        <v>129</v>
      </c>
    </row>
    <row r="23" spans="1:4" x14ac:dyDescent="0.3">
      <c r="A23" s="9" t="s">
        <v>1</v>
      </c>
      <c r="B23" s="6" t="s">
        <v>128</v>
      </c>
      <c r="C23" s="4" t="s">
        <v>124</v>
      </c>
      <c r="D23" s="6" t="s">
        <v>131</v>
      </c>
    </row>
    <row r="24" spans="1:4" x14ac:dyDescent="0.3">
      <c r="A24" s="9" t="s">
        <v>11</v>
      </c>
      <c r="B24" s="6" t="s">
        <v>136</v>
      </c>
      <c r="C24" s="4"/>
      <c r="D24" s="6"/>
    </row>
    <row r="25" spans="1:4" x14ac:dyDescent="0.3">
      <c r="A25" s="9" t="s">
        <v>1</v>
      </c>
      <c r="B25" s="6" t="s">
        <v>132</v>
      </c>
      <c r="C25" s="4">
        <v>28</v>
      </c>
      <c r="D25" s="6"/>
    </row>
    <row r="26" spans="1:4" x14ac:dyDescent="0.3">
      <c r="A26" s="9" t="s">
        <v>1</v>
      </c>
      <c r="B26" s="6" t="s">
        <v>133</v>
      </c>
      <c r="C26" s="4" t="s">
        <v>134</v>
      </c>
      <c r="D26" s="6" t="s">
        <v>130</v>
      </c>
    </row>
    <row r="27" spans="1:4" x14ac:dyDescent="0.3">
      <c r="A27" s="9" t="s">
        <v>1</v>
      </c>
      <c r="B27" s="6" t="s">
        <v>135</v>
      </c>
      <c r="C27" s="4" t="s">
        <v>121</v>
      </c>
      <c r="D27" s="6"/>
    </row>
    <row r="28" spans="1:4" ht="28.8" x14ac:dyDescent="0.3">
      <c r="A28" s="9" t="s">
        <v>11</v>
      </c>
      <c r="B28" s="6" t="s">
        <v>162</v>
      </c>
      <c r="C28" s="4"/>
      <c r="D28" s="6" t="s">
        <v>165</v>
      </c>
    </row>
    <row r="29" spans="1:4" x14ac:dyDescent="0.3">
      <c r="A29" s="9" t="s">
        <v>12</v>
      </c>
      <c r="B29" s="6" t="s">
        <v>78</v>
      </c>
      <c r="C29" s="4"/>
      <c r="D29" s="6"/>
    </row>
    <row r="30" spans="1:4" ht="43.2" x14ac:dyDescent="0.3">
      <c r="A30" s="9" t="s">
        <v>1</v>
      </c>
      <c r="B30" s="6" t="s">
        <v>163</v>
      </c>
      <c r="C30" s="4" t="s">
        <v>121</v>
      </c>
      <c r="D30" s="6" t="s">
        <v>166</v>
      </c>
    </row>
    <row r="31" spans="1:4" x14ac:dyDescent="0.3">
      <c r="A31" s="9" t="s">
        <v>1</v>
      </c>
      <c r="B31" s="6" t="s">
        <v>119</v>
      </c>
      <c r="C31" s="4" t="s">
        <v>122</v>
      </c>
      <c r="D31" s="6"/>
    </row>
    <row r="32" spans="1:4" x14ac:dyDescent="0.3">
      <c r="A32" s="9" t="s">
        <v>1</v>
      </c>
      <c r="B32" s="6" t="s">
        <v>164</v>
      </c>
      <c r="C32" s="4" t="s">
        <v>121</v>
      </c>
      <c r="D32" s="6"/>
    </row>
    <row r="33" spans="1:4" x14ac:dyDescent="0.3">
      <c r="A33" s="9" t="s">
        <v>1</v>
      </c>
      <c r="B33" s="6" t="s">
        <v>143</v>
      </c>
      <c r="C33" s="4" t="s">
        <v>167</v>
      </c>
      <c r="D33" s="6"/>
    </row>
    <row r="34" spans="1:4" x14ac:dyDescent="0.3">
      <c r="A34" s="9" t="s">
        <v>12</v>
      </c>
      <c r="B34" s="6" t="s">
        <v>82</v>
      </c>
      <c r="C34" s="4"/>
      <c r="D34" s="6"/>
    </row>
    <row r="35" spans="1:4" x14ac:dyDescent="0.3">
      <c r="A35" s="9" t="s">
        <v>1</v>
      </c>
      <c r="B35" s="6" t="s">
        <v>159</v>
      </c>
      <c r="C35" s="4" t="s">
        <v>161</v>
      </c>
      <c r="D35" s="6"/>
    </row>
    <row r="36" spans="1:4" x14ac:dyDescent="0.3">
      <c r="A36" s="9" t="s">
        <v>1</v>
      </c>
      <c r="B36" s="6" t="s">
        <v>160</v>
      </c>
      <c r="C36" s="4" t="s">
        <v>121</v>
      </c>
      <c r="D36" s="6" t="s">
        <v>130</v>
      </c>
    </row>
    <row r="37" spans="1:4" ht="28.8" x14ac:dyDescent="0.3">
      <c r="A37" s="9" t="s">
        <v>11</v>
      </c>
      <c r="B37" s="6" t="s">
        <v>79</v>
      </c>
      <c r="C37" s="4"/>
      <c r="D37" s="6" t="s">
        <v>165</v>
      </c>
    </row>
    <row r="38" spans="1:4" x14ac:dyDescent="0.3">
      <c r="A38" s="9" t="s">
        <v>12</v>
      </c>
      <c r="B38" s="6" t="s">
        <v>80</v>
      </c>
      <c r="C38" s="4"/>
      <c r="D38" s="6"/>
    </row>
    <row r="39" spans="1:4" x14ac:dyDescent="0.3">
      <c r="A39" s="9" t="s">
        <v>1</v>
      </c>
      <c r="B39" s="6" t="s">
        <v>168</v>
      </c>
      <c r="C39" s="4" t="s">
        <v>176</v>
      </c>
      <c r="D39" s="6"/>
    </row>
    <row r="40" spans="1:4" x14ac:dyDescent="0.3">
      <c r="A40" s="9" t="s">
        <v>1</v>
      </c>
      <c r="B40" s="6" t="s">
        <v>169</v>
      </c>
      <c r="C40" s="4" t="s">
        <v>120</v>
      </c>
      <c r="D40" s="6"/>
    </row>
    <row r="41" spans="1:4" x14ac:dyDescent="0.3">
      <c r="A41" s="9" t="s">
        <v>12</v>
      </c>
      <c r="B41" s="6" t="s">
        <v>140</v>
      </c>
      <c r="C41" s="4"/>
      <c r="D41" s="6"/>
    </row>
    <row r="42" spans="1:4" x14ac:dyDescent="0.3">
      <c r="A42" s="9" t="s">
        <v>1</v>
      </c>
      <c r="B42" s="6" t="s">
        <v>170</v>
      </c>
      <c r="C42" s="4" t="s">
        <v>120</v>
      </c>
      <c r="D42" s="6"/>
    </row>
    <row r="43" spans="1:4" x14ac:dyDescent="0.3">
      <c r="A43" s="9" t="s">
        <v>1</v>
      </c>
      <c r="B43" s="6" t="s">
        <v>171</v>
      </c>
      <c r="C43" s="4" t="s">
        <v>174</v>
      </c>
      <c r="D43" s="6"/>
    </row>
    <row r="44" spans="1:4" x14ac:dyDescent="0.3">
      <c r="A44" s="9" t="s">
        <v>12</v>
      </c>
      <c r="B44" s="6" t="s">
        <v>81</v>
      </c>
      <c r="C44" s="4"/>
      <c r="D44" s="6"/>
    </row>
    <row r="45" spans="1:4" x14ac:dyDescent="0.3">
      <c r="A45" s="9" t="s">
        <v>1</v>
      </c>
      <c r="B45" s="6" t="s">
        <v>172</v>
      </c>
      <c r="C45" s="4" t="s">
        <v>174</v>
      </c>
      <c r="D45" s="6"/>
    </row>
    <row r="46" spans="1:4" x14ac:dyDescent="0.3">
      <c r="A46" s="9" t="s">
        <v>1</v>
      </c>
      <c r="B46" s="6" t="s">
        <v>173</v>
      </c>
      <c r="C46" s="4" t="s">
        <v>175</v>
      </c>
      <c r="D46" s="6"/>
    </row>
    <row r="47" spans="1:4" x14ac:dyDescent="0.3">
      <c r="A47" s="9" t="s">
        <v>11</v>
      </c>
      <c r="B47" s="6" t="s">
        <v>83</v>
      </c>
      <c r="C47" s="4"/>
      <c r="D47" s="6"/>
    </row>
    <row r="48" spans="1:4" x14ac:dyDescent="0.3">
      <c r="A48" s="9" t="s">
        <v>1</v>
      </c>
      <c r="B48" s="6" t="s">
        <v>83</v>
      </c>
      <c r="C48" s="4" t="s">
        <v>138</v>
      </c>
      <c r="D48" s="6"/>
    </row>
    <row r="49" spans="1:4" x14ac:dyDescent="0.3">
      <c r="A49" s="9" t="s">
        <v>1</v>
      </c>
      <c r="B49" s="6" t="s">
        <v>137</v>
      </c>
      <c r="C49" s="4" t="s">
        <v>138</v>
      </c>
      <c r="D49" s="6"/>
    </row>
    <row r="50" spans="1:4" x14ac:dyDescent="0.3">
      <c r="A50" s="9" t="s">
        <v>1</v>
      </c>
      <c r="B50" s="6" t="s">
        <v>139</v>
      </c>
      <c r="C50" s="4" t="s">
        <v>138</v>
      </c>
      <c r="D50" s="6"/>
    </row>
    <row r="51" spans="1:4" x14ac:dyDescent="0.3">
      <c r="A51" s="9" t="s">
        <v>11</v>
      </c>
      <c r="B51" s="6" t="s">
        <v>147</v>
      </c>
      <c r="C51" s="4"/>
      <c r="D51" s="4"/>
    </row>
    <row r="52" spans="1:4" x14ac:dyDescent="0.3">
      <c r="A52" s="9" t="s">
        <v>1</v>
      </c>
      <c r="B52" s="6" t="s">
        <v>144</v>
      </c>
      <c r="C52" s="4" t="s">
        <v>84</v>
      </c>
      <c r="D52" s="6"/>
    </row>
    <row r="53" spans="1:4" x14ac:dyDescent="0.3">
      <c r="A53" s="9" t="s">
        <v>1</v>
      </c>
      <c r="B53" s="6" t="s">
        <v>145</v>
      </c>
      <c r="C53" s="4" t="s">
        <v>141</v>
      </c>
      <c r="D53" s="6"/>
    </row>
    <row r="54" spans="1:4" x14ac:dyDescent="0.3">
      <c r="A54" s="9" t="s">
        <v>1</v>
      </c>
      <c r="B54" s="6" t="s">
        <v>146</v>
      </c>
      <c r="C54" s="4" t="s">
        <v>142</v>
      </c>
      <c r="D54" s="6"/>
    </row>
  </sheetData>
  <mergeCells count="9">
    <mergeCell ref="B8:D8"/>
    <mergeCell ref="B9:D9"/>
    <mergeCell ref="B10:D10"/>
    <mergeCell ref="B2:D2"/>
    <mergeCell ref="B3:D3"/>
    <mergeCell ref="B4:D4"/>
    <mergeCell ref="B5:D5"/>
    <mergeCell ref="B6:D6"/>
    <mergeCell ref="B7:D7"/>
  </mergeCells>
  <conditionalFormatting sqref="A55:XFD1048576 E13:XFD54">
    <cfRule type="expression" dxfId="46" priority="10">
      <formula>AND(OR($A13="group",$A13="subgroup"), NOT(ISBLANK($C13)))</formula>
    </cfRule>
    <cfRule type="expression" dxfId="45" priority="11">
      <formula>AND($A13="item", ISBLANK($C13))</formula>
    </cfRule>
    <cfRule type="expression" dxfId="44" priority="12">
      <formula>AND(NOT(ISBLANK($A13)), ISBLANK($B13))</formula>
    </cfRule>
    <cfRule type="expression" dxfId="43" priority="13">
      <formula>$A13="group"</formula>
    </cfRule>
    <cfRule type="expression" dxfId="42" priority="14">
      <formula>$A13="subgroup"</formula>
    </cfRule>
    <cfRule type="expression" dxfId="41" priority="15">
      <formula>$A13="item"</formula>
    </cfRule>
  </conditionalFormatting>
  <conditionalFormatting sqref="A25:A28 D22:D24 A23:C24 A13:D21 C25:D28 A29:D54">
    <cfRule type="expression" dxfId="40" priority="8">
      <formula>$A13="group"</formula>
    </cfRule>
  </conditionalFormatting>
  <conditionalFormatting sqref="A25:A28 D22:D24 A23:C24 A13:D21 C25:D28 A29:D54">
    <cfRule type="expression" dxfId="39" priority="9">
      <formula>$A13="subgroup"</formula>
    </cfRule>
  </conditionalFormatting>
  <conditionalFormatting sqref="B23:B24 B13:B21 B52:B54 B28:B50">
    <cfRule type="expression" dxfId="38" priority="7">
      <formula>AND(NOT($A13=""), $B13="")</formula>
    </cfRule>
  </conditionalFormatting>
  <conditionalFormatting sqref="C13:C21 C23:C54">
    <cfRule type="expression" dxfId="37" priority="5">
      <formula>AND(OR($A13="group",$A13="subgroup"), NOT($C13=""))</formula>
    </cfRule>
    <cfRule type="expression" dxfId="36" priority="6">
      <formula>AND($A13="item", $C13="")</formula>
    </cfRule>
  </conditionalFormatting>
  <conditionalFormatting sqref="B28">
    <cfRule type="expression" dxfId="35" priority="3">
      <formula>$A28="group"</formula>
    </cfRule>
  </conditionalFormatting>
  <conditionalFormatting sqref="B28">
    <cfRule type="expression" dxfId="34" priority="4">
      <formula>$A28="subgroup"</formula>
    </cfRule>
  </conditionalFormatting>
  <conditionalFormatting sqref="D51">
    <cfRule type="expression" dxfId="33" priority="1">
      <formula>AND(OR($A51="group",$A51="subgroup"), NOT($C51=""))</formula>
    </cfRule>
    <cfRule type="expression" dxfId="32" priority="2">
      <formula>AND($A51="item", $C51="")</formula>
    </cfRule>
  </conditionalFormatting>
  <dataValidations count="2">
    <dataValidation type="list" allowBlank="1" showInputMessage="1" showErrorMessage="1" sqref="A55:A1048576" xr:uid="{AE20EB7C-1A86-4E84-B72F-158D37275954}">
      <formula1>"group,subgroup,item"</formula1>
    </dataValidation>
    <dataValidation type="list" allowBlank="1" showInputMessage="1" showErrorMessage="1" sqref="A13:A21 A23:A54" xr:uid="{890DA646-53BD-4560-9824-D4FF3B5FD4D9}">
      <formula1>"item, group, subgroup"</formula1>
    </dataValidation>
  </dataValidations>
  <printOptions gridLines="1"/>
  <pageMargins left="0.70866141732283472" right="0.70866141732283472" top="0.74803149606299213" bottom="0.74803149606299213" header="0.31496062992125984" footer="0.31496062992125984"/>
  <pageSetup scale="81" fitToWidth="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428D6-54DB-4B0C-A02F-6AD7C52A8FB7}">
  <dimension ref="A1:D12"/>
  <sheetViews>
    <sheetView workbookViewId="0">
      <selection activeCell="B5" sqref="B5:D5"/>
    </sheetView>
  </sheetViews>
  <sheetFormatPr defaultColWidth="0" defaultRowHeight="14.4" x14ac:dyDescent="0.3"/>
  <cols>
    <col min="1" max="1" width="25.6640625" style="15" customWidth="1"/>
    <col min="2" max="2" width="40.6640625" style="15" customWidth="1"/>
    <col min="3" max="3" width="15.6640625" style="15" customWidth="1"/>
    <col min="4" max="4" width="100.6640625" style="15" customWidth="1"/>
    <col min="5" max="16384" width="9.109375" style="15" hidden="1"/>
  </cols>
  <sheetData>
    <row r="1" spans="1:4" s="10" customFormat="1" x14ac:dyDescent="0.3">
      <c r="A1" s="10" t="s">
        <v>86</v>
      </c>
    </row>
    <row r="2" spans="1:4" customFormat="1" x14ac:dyDescent="0.3">
      <c r="A2" s="11" t="s">
        <v>2</v>
      </c>
      <c r="B2" s="22" t="s">
        <v>179</v>
      </c>
      <c r="C2" s="22"/>
      <c r="D2" s="22"/>
    </row>
    <row r="3" spans="1:4" customFormat="1" x14ac:dyDescent="0.3">
      <c r="A3" s="11" t="s">
        <v>87</v>
      </c>
      <c r="B3" s="22" t="s">
        <v>178</v>
      </c>
      <c r="C3" s="22"/>
      <c r="D3" s="22"/>
    </row>
    <row r="4" spans="1:4" customFormat="1" x14ac:dyDescent="0.3">
      <c r="A4" s="11" t="s">
        <v>88</v>
      </c>
      <c r="B4" s="24" t="s">
        <v>180</v>
      </c>
      <c r="C4" s="22"/>
      <c r="D4" s="22"/>
    </row>
    <row r="5" spans="1:4" customFormat="1" x14ac:dyDescent="0.3">
      <c r="A5" s="11" t="s">
        <v>89</v>
      </c>
      <c r="B5" s="22" t="s">
        <v>184</v>
      </c>
      <c r="C5" s="22"/>
      <c r="D5" s="22"/>
    </row>
    <row r="6" spans="1:4" customFormat="1" x14ac:dyDescent="0.3">
      <c r="A6" s="11" t="s">
        <v>90</v>
      </c>
      <c r="B6" s="23" t="s">
        <v>181</v>
      </c>
      <c r="C6" s="22"/>
      <c r="D6" s="22"/>
    </row>
    <row r="7" spans="1:4" customFormat="1" x14ac:dyDescent="0.3">
      <c r="A7" s="11" t="s">
        <v>91</v>
      </c>
      <c r="B7" s="22"/>
      <c r="C7" s="22"/>
      <c r="D7" s="22"/>
    </row>
    <row r="8" spans="1:4" customFormat="1" x14ac:dyDescent="0.3">
      <c r="A8" s="11" t="s">
        <v>92</v>
      </c>
      <c r="B8" s="22"/>
      <c r="C8" s="22"/>
      <c r="D8" s="22"/>
    </row>
    <row r="9" spans="1:4" customFormat="1" x14ac:dyDescent="0.3">
      <c r="A9" s="11" t="s">
        <v>93</v>
      </c>
      <c r="B9" s="23" t="s">
        <v>181</v>
      </c>
      <c r="C9" s="22"/>
      <c r="D9" s="22"/>
    </row>
    <row r="10" spans="1:4" customFormat="1" x14ac:dyDescent="0.3">
      <c r="A10" s="11" t="s">
        <v>149</v>
      </c>
      <c r="B10" s="22" t="b">
        <v>0</v>
      </c>
      <c r="C10" s="22"/>
      <c r="D10" s="22"/>
    </row>
    <row r="11" spans="1:4" s="10" customFormat="1" x14ac:dyDescent="0.3">
      <c r="A11" s="10" t="s">
        <v>85</v>
      </c>
    </row>
    <row r="12" spans="1:4" s="11" customFormat="1" x14ac:dyDescent="0.3">
      <c r="A12" s="11" t="s">
        <v>110</v>
      </c>
      <c r="B12" s="11" t="s">
        <v>111</v>
      </c>
      <c r="C12" s="11" t="s">
        <v>112</v>
      </c>
      <c r="D12" s="11" t="s">
        <v>113</v>
      </c>
    </row>
  </sheetData>
  <mergeCells count="9">
    <mergeCell ref="B8:D8"/>
    <mergeCell ref="B9:D9"/>
    <mergeCell ref="B10:D10"/>
    <mergeCell ref="B2:D2"/>
    <mergeCell ref="B3:D3"/>
    <mergeCell ref="B4:D4"/>
    <mergeCell ref="B5:D5"/>
    <mergeCell ref="B6:D6"/>
    <mergeCell ref="B7:D7"/>
  </mergeCells>
  <conditionalFormatting sqref="A13:XFD1048576">
    <cfRule type="expression" dxfId="31" priority="1">
      <formula>AND(OR($A13="group",$A13="subgroup"), NOT(ISBLANK($C13)))</formula>
    </cfRule>
    <cfRule type="expression" dxfId="30" priority="2">
      <formula>AND($A13="item", ISBLANK($C13))</formula>
    </cfRule>
    <cfRule type="expression" dxfId="29" priority="3">
      <formula>AND(NOT(ISBLANK($A13)), ISBLANK($B13))</formula>
    </cfRule>
    <cfRule type="expression" dxfId="28" priority="4">
      <formula>$A13="group"</formula>
    </cfRule>
    <cfRule type="expression" dxfId="27" priority="5">
      <formula>$A13="subgroup"</formula>
    </cfRule>
    <cfRule type="expression" dxfId="26" priority="6">
      <formula>$A13="item"</formula>
    </cfRule>
  </conditionalFormatting>
  <dataValidations count="1">
    <dataValidation type="list" allowBlank="1" showInputMessage="1" showErrorMessage="1" sqref="A13:A1048576" xr:uid="{FCDD5F01-DA46-4749-93A9-85316D72E193}">
      <formula1>"group,subgroup,item"</formula1>
    </dataValidation>
  </dataValidations>
  <hyperlinks>
    <hyperlink ref="B9" r:id="rId1" xr:uid="{A1A437D6-6B57-4504-A94A-4AA5CB91B88D}"/>
    <hyperlink ref="B6" r:id="rId2" xr:uid="{969E08D4-A69E-45E9-9ED9-E8CA101F702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4FE99-9329-4772-BE6C-FD03B1BED6F9}">
  <dimension ref="A1:D12"/>
  <sheetViews>
    <sheetView workbookViewId="0">
      <selection activeCell="B5" sqref="B5:D5"/>
    </sheetView>
  </sheetViews>
  <sheetFormatPr defaultColWidth="0" defaultRowHeight="14.4" x14ac:dyDescent="0.3"/>
  <cols>
    <col min="1" max="1" width="25.6640625" style="15" customWidth="1"/>
    <col min="2" max="2" width="40.6640625" style="15" customWidth="1"/>
    <col min="3" max="3" width="15.6640625" style="15" customWidth="1"/>
    <col min="4" max="4" width="100.6640625" style="15" customWidth="1"/>
    <col min="5" max="16384" width="9.109375" style="15" hidden="1"/>
  </cols>
  <sheetData>
    <row r="1" spans="1:4" s="10" customFormat="1" x14ac:dyDescent="0.3">
      <c r="A1" s="10" t="s">
        <v>86</v>
      </c>
    </row>
    <row r="2" spans="1:4" customFormat="1" x14ac:dyDescent="0.3">
      <c r="A2" s="11" t="s">
        <v>2</v>
      </c>
      <c r="B2" s="22" t="s">
        <v>182</v>
      </c>
      <c r="C2" s="22"/>
      <c r="D2" s="22"/>
    </row>
    <row r="3" spans="1:4" customFormat="1" x14ac:dyDescent="0.3">
      <c r="A3" s="11" t="s">
        <v>87</v>
      </c>
      <c r="B3" s="22" t="s">
        <v>178</v>
      </c>
      <c r="C3" s="22"/>
      <c r="D3" s="22"/>
    </row>
    <row r="4" spans="1:4" customFormat="1" x14ac:dyDescent="0.3">
      <c r="A4" s="11" t="s">
        <v>88</v>
      </c>
      <c r="B4" s="22" t="s">
        <v>185</v>
      </c>
      <c r="C4" s="22"/>
      <c r="D4" s="22"/>
    </row>
    <row r="5" spans="1:4" customFormat="1" x14ac:dyDescent="0.3">
      <c r="A5" s="11" t="s">
        <v>89</v>
      </c>
      <c r="B5" s="22" t="s">
        <v>184</v>
      </c>
      <c r="C5" s="22"/>
      <c r="D5" s="22"/>
    </row>
    <row r="6" spans="1:4" customFormat="1" x14ac:dyDescent="0.3">
      <c r="A6" s="11" t="s">
        <v>90</v>
      </c>
      <c r="B6" s="23" t="s">
        <v>183</v>
      </c>
      <c r="C6" s="22"/>
      <c r="D6" s="22"/>
    </row>
    <row r="7" spans="1:4" customFormat="1" x14ac:dyDescent="0.3">
      <c r="A7" s="11" t="s">
        <v>91</v>
      </c>
      <c r="B7" s="22"/>
      <c r="C7" s="22"/>
      <c r="D7" s="22"/>
    </row>
    <row r="8" spans="1:4" customFormat="1" x14ac:dyDescent="0.3">
      <c r="A8" s="11" t="s">
        <v>92</v>
      </c>
      <c r="B8" s="22"/>
      <c r="C8" s="22"/>
      <c r="D8" s="22"/>
    </row>
    <row r="9" spans="1:4" customFormat="1" x14ac:dyDescent="0.3">
      <c r="A9" s="11" t="s">
        <v>93</v>
      </c>
      <c r="B9" s="23" t="s">
        <v>183</v>
      </c>
      <c r="C9" s="22"/>
      <c r="D9" s="22"/>
    </row>
    <row r="10" spans="1:4" customFormat="1" x14ac:dyDescent="0.3">
      <c r="A10" s="11" t="s">
        <v>149</v>
      </c>
      <c r="B10" s="22" t="b">
        <v>0</v>
      </c>
      <c r="C10" s="22"/>
      <c r="D10" s="22"/>
    </row>
    <row r="11" spans="1:4" s="10" customFormat="1" x14ac:dyDescent="0.3">
      <c r="A11" s="10" t="s">
        <v>85</v>
      </c>
    </row>
    <row r="12" spans="1:4" s="11" customFormat="1" x14ac:dyDescent="0.3">
      <c r="A12" s="11" t="s">
        <v>110</v>
      </c>
      <c r="B12" s="11" t="s">
        <v>111</v>
      </c>
      <c r="C12" s="11" t="s">
        <v>112</v>
      </c>
      <c r="D12" s="11" t="s">
        <v>113</v>
      </c>
    </row>
  </sheetData>
  <mergeCells count="9">
    <mergeCell ref="B8:D8"/>
    <mergeCell ref="B9:D9"/>
    <mergeCell ref="B10:D10"/>
    <mergeCell ref="B2:D2"/>
    <mergeCell ref="B3:D3"/>
    <mergeCell ref="B4:D4"/>
    <mergeCell ref="B5:D5"/>
    <mergeCell ref="B6:D6"/>
    <mergeCell ref="B7:D7"/>
  </mergeCells>
  <conditionalFormatting sqref="A13:XFD1048576">
    <cfRule type="expression" dxfId="25" priority="1">
      <formula>AND(OR($A13="group",$A13="subgroup"), NOT(ISBLANK($C13)))</formula>
    </cfRule>
    <cfRule type="expression" dxfId="24" priority="2">
      <formula>AND($A13="item", ISBLANK($C13))</formula>
    </cfRule>
    <cfRule type="expression" dxfId="23" priority="3">
      <formula>AND(NOT(ISBLANK($A13)), ISBLANK($B13))</formula>
    </cfRule>
    <cfRule type="expression" dxfId="22" priority="4">
      <formula>$A13="group"</formula>
    </cfRule>
    <cfRule type="expression" dxfId="21" priority="5">
      <formula>$A13="subgroup"</formula>
    </cfRule>
    <cfRule type="expression" dxfId="20" priority="6">
      <formula>$A13="item"</formula>
    </cfRule>
  </conditionalFormatting>
  <dataValidations disablePrompts="1" count="1">
    <dataValidation type="list" allowBlank="1" showInputMessage="1" showErrorMessage="1" sqref="A13:A1048576" xr:uid="{64FB393C-CECA-4C3C-9090-28AE2F6C53F2}">
      <formula1>"group,subgroup,item"</formula1>
    </dataValidation>
  </dataValidations>
  <hyperlinks>
    <hyperlink ref="B9" r:id="rId1" xr:uid="{7CBE8E25-9D60-4F8C-A02F-B2EBAC75A9D0}"/>
    <hyperlink ref="B6" r:id="rId2" xr:uid="{19BF5FE7-5C39-4A50-A4A5-14A80900DFE8}"/>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pageSetUpPr fitToPage="1"/>
  </sheetPr>
  <dimension ref="A1:D12"/>
  <sheetViews>
    <sheetView workbookViewId="0">
      <selection activeCell="A2" sqref="A2:A10"/>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0" customFormat="1" x14ac:dyDescent="0.3">
      <c r="A1" s="10" t="s">
        <v>86</v>
      </c>
    </row>
    <row r="2" spans="1:4" x14ac:dyDescent="0.3">
      <c r="A2" s="11" t="s">
        <v>2</v>
      </c>
      <c r="B2" s="19" t="s">
        <v>150</v>
      </c>
      <c r="C2" s="19"/>
      <c r="D2" s="19"/>
    </row>
    <row r="3" spans="1:4" x14ac:dyDescent="0.3">
      <c r="A3" s="11" t="s">
        <v>87</v>
      </c>
      <c r="B3" s="19" t="s">
        <v>114</v>
      </c>
      <c r="C3" s="19"/>
      <c r="D3" s="19"/>
    </row>
    <row r="4" spans="1:4" x14ac:dyDescent="0.3">
      <c r="A4" s="11" t="s">
        <v>88</v>
      </c>
      <c r="B4" s="25" t="s">
        <v>151</v>
      </c>
      <c r="C4" s="25"/>
      <c r="D4" s="25"/>
    </row>
    <row r="5" spans="1:4" x14ac:dyDescent="0.3">
      <c r="A5" s="11" t="s">
        <v>105</v>
      </c>
      <c r="B5" s="19" t="s">
        <v>101</v>
      </c>
      <c r="C5" s="19"/>
      <c r="D5" s="19"/>
    </row>
    <row r="6" spans="1:4" x14ac:dyDescent="0.3">
      <c r="A6" s="11" t="s">
        <v>106</v>
      </c>
      <c r="B6" s="19" t="s">
        <v>115</v>
      </c>
      <c r="C6" s="19"/>
      <c r="D6" s="19"/>
    </row>
    <row r="7" spans="1:4" x14ac:dyDescent="0.3">
      <c r="A7" s="11" t="s">
        <v>107</v>
      </c>
      <c r="B7" s="19" t="str">
        <f>"Call: " &amp; TEXT(RIGHT(B8,10), "[&lt;=9999999]###-####;(###) ###-####")</f>
        <v>Call: (519) 207-1111</v>
      </c>
      <c r="C7" s="19"/>
      <c r="D7" s="19"/>
    </row>
    <row r="8" spans="1:4" x14ac:dyDescent="0.3">
      <c r="A8" s="11" t="s">
        <v>108</v>
      </c>
      <c r="B8" s="19" t="s">
        <v>100</v>
      </c>
      <c r="C8" s="19"/>
      <c r="D8" s="19"/>
    </row>
    <row r="9" spans="1:4" x14ac:dyDescent="0.3">
      <c r="A9" s="11" t="s">
        <v>109</v>
      </c>
      <c r="B9" s="19" t="s">
        <v>115</v>
      </c>
      <c r="C9" s="19"/>
      <c r="D9" s="19"/>
    </row>
    <row r="10" spans="1:4" x14ac:dyDescent="0.3">
      <c r="A10" s="11" t="s">
        <v>149</v>
      </c>
      <c r="B10" s="22" t="b">
        <v>1</v>
      </c>
      <c r="C10" s="22"/>
      <c r="D10" s="22"/>
    </row>
    <row r="11" spans="1:4" s="10" customFormat="1" x14ac:dyDescent="0.3">
      <c r="A11" s="10" t="s">
        <v>85</v>
      </c>
    </row>
    <row r="12" spans="1:4" s="11" customFormat="1" x14ac:dyDescent="0.3">
      <c r="A12" s="11" t="s">
        <v>110</v>
      </c>
      <c r="B12" s="11" t="s">
        <v>111</v>
      </c>
      <c r="C12" s="11" t="s">
        <v>112</v>
      </c>
      <c r="D12" s="11" t="s">
        <v>113</v>
      </c>
    </row>
  </sheetData>
  <mergeCells count="9">
    <mergeCell ref="B10:D10"/>
    <mergeCell ref="B8:D8"/>
    <mergeCell ref="B9:D9"/>
    <mergeCell ref="B2:D2"/>
    <mergeCell ref="B3:D3"/>
    <mergeCell ref="B4:D4"/>
    <mergeCell ref="B5:D5"/>
    <mergeCell ref="B6:D6"/>
    <mergeCell ref="B7:D7"/>
  </mergeCells>
  <conditionalFormatting sqref="A13:A1048576">
    <cfRule type="cellIs" dxfId="19" priority="1" stopIfTrue="1" operator="equal">
      <formula>"group"</formula>
    </cfRule>
    <cfRule type="cellIs" dxfId="18"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pageSetup scale="67"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pageSetUpPr fitToPage="1"/>
  </sheetPr>
  <dimension ref="A1"/>
  <sheetViews>
    <sheetView showGridLines="0" workbookViewId="0">
      <selection activeCell="A32" sqref="A32"/>
    </sheetView>
  </sheetViews>
  <sheetFormatPr defaultColWidth="0" defaultRowHeight="14.4" x14ac:dyDescent="0.3"/>
  <cols>
    <col min="1" max="1" width="175.6640625" style="12" customWidth="1"/>
    <col min="2" max="16384" width="9.109375" style="12" hidden="1"/>
  </cols>
  <sheetData>
    <row r="1" spans="1:1" x14ac:dyDescent="0.3">
      <c r="A1" s="13" t="s">
        <v>102</v>
      </c>
    </row>
  </sheetData>
  <pageMargins left="0.7" right="0.7" top="0.75" bottom="0.75" header="0.3" footer="0.3"/>
  <pageSetup scale="69" fitToHeight="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2E1-90DF-42BA-BACC-78B64016D831}">
  <sheetPr>
    <pageSetUpPr fitToPage="1"/>
  </sheetPr>
  <dimension ref="A1:D64"/>
  <sheetViews>
    <sheetView workbookViewId="0">
      <selection activeCell="B11" sqref="B11"/>
    </sheetView>
  </sheetViews>
  <sheetFormatPr defaultColWidth="0" defaultRowHeight="14.4" x14ac:dyDescent="0.3"/>
  <cols>
    <col min="1" max="1" width="25.6640625" style="15" customWidth="1"/>
    <col min="2" max="2" width="40.6640625" style="15" customWidth="1"/>
    <col min="3" max="3" width="15.6640625" style="18" customWidth="1"/>
    <col min="4" max="4" width="100.6640625" style="18" customWidth="1"/>
    <col min="5" max="16384" width="8.88671875" style="15" hidden="1"/>
  </cols>
  <sheetData>
    <row r="1" spans="1:4" s="10" customFormat="1" x14ac:dyDescent="0.3">
      <c r="A1" s="10" t="s">
        <v>86</v>
      </c>
      <c r="C1" s="16"/>
      <c r="D1" s="16"/>
    </row>
    <row r="2" spans="1:4" customFormat="1" x14ac:dyDescent="0.3">
      <c r="A2" s="11" t="s">
        <v>2</v>
      </c>
      <c r="B2" s="20" t="s">
        <v>98</v>
      </c>
      <c r="C2" s="20"/>
      <c r="D2" s="20"/>
    </row>
    <row r="3" spans="1:4" customFormat="1" x14ac:dyDescent="0.3">
      <c r="A3" s="11" t="s">
        <v>87</v>
      </c>
      <c r="B3" s="20" t="s">
        <v>99</v>
      </c>
      <c r="C3" s="20"/>
      <c r="D3" s="20"/>
    </row>
    <row r="4" spans="1:4" customFormat="1" ht="90" customHeight="1" x14ac:dyDescent="0.3">
      <c r="A4" s="11" t="s">
        <v>88</v>
      </c>
      <c r="B4" s="20" t="s">
        <v>103</v>
      </c>
      <c r="C4" s="20"/>
      <c r="D4" s="20"/>
    </row>
    <row r="5" spans="1:4" customFormat="1" x14ac:dyDescent="0.3">
      <c r="A5" s="11" t="s">
        <v>89</v>
      </c>
      <c r="B5" s="20" t="str">
        <f>"Text: " &amp; TEXT(RIGHT(B6,10), "[&lt;=9999999]###-####;(###) ###-####")</f>
        <v>Text: (437) 385-8925</v>
      </c>
      <c r="C5" s="20"/>
      <c r="D5" s="20"/>
    </row>
    <row r="6" spans="1:4" customFormat="1" x14ac:dyDescent="0.3">
      <c r="A6" s="11" t="s">
        <v>90</v>
      </c>
      <c r="B6" s="20" t="s">
        <v>148</v>
      </c>
      <c r="C6" s="20"/>
      <c r="D6" s="20"/>
    </row>
    <row r="7" spans="1:4" customFormat="1" x14ac:dyDescent="0.3">
      <c r="A7" s="11" t="s">
        <v>91</v>
      </c>
      <c r="B7" s="20"/>
      <c r="C7" s="20"/>
      <c r="D7" s="20"/>
    </row>
    <row r="8" spans="1:4" customFormat="1" x14ac:dyDescent="0.3">
      <c r="A8" s="11" t="s">
        <v>92</v>
      </c>
      <c r="B8" s="20"/>
      <c r="C8" s="20"/>
      <c r="D8" s="20"/>
    </row>
    <row r="9" spans="1:4" customFormat="1" x14ac:dyDescent="0.3">
      <c r="A9" s="11" t="s">
        <v>93</v>
      </c>
      <c r="B9" s="20"/>
      <c r="C9" s="20"/>
      <c r="D9" s="20"/>
    </row>
    <row r="10" spans="1:4" customFormat="1" x14ac:dyDescent="0.3">
      <c r="A10" s="11" t="s">
        <v>149</v>
      </c>
      <c r="B10" s="20" t="b">
        <v>0</v>
      </c>
      <c r="C10" s="20"/>
      <c r="D10" s="20"/>
    </row>
    <row r="11" spans="1:4" s="10" customFormat="1" x14ac:dyDescent="0.3">
      <c r="A11" s="10" t="s">
        <v>85</v>
      </c>
      <c r="C11" s="16"/>
      <c r="D11" s="16"/>
    </row>
    <row r="12" spans="1:4" s="11" customFormat="1" x14ac:dyDescent="0.3">
      <c r="A12" s="11" t="s">
        <v>110</v>
      </c>
      <c r="B12" s="11" t="s">
        <v>111</v>
      </c>
      <c r="C12" s="17" t="s">
        <v>112</v>
      </c>
      <c r="D12" s="17" t="s">
        <v>113</v>
      </c>
    </row>
    <row r="13" spans="1:4" x14ac:dyDescent="0.3">
      <c r="A13" s="9" t="s">
        <v>11</v>
      </c>
      <c r="B13" s="6" t="s">
        <v>41</v>
      </c>
      <c r="C13" s="4"/>
      <c r="D13" s="6"/>
    </row>
    <row r="14" spans="1:4" ht="43.2" x14ac:dyDescent="0.3">
      <c r="A14" s="9" t="s">
        <v>12</v>
      </c>
      <c r="B14" s="6" t="s">
        <v>42</v>
      </c>
      <c r="C14" s="4"/>
      <c r="D14" s="6" t="s">
        <v>43</v>
      </c>
    </row>
    <row r="15" spans="1:4" ht="43.2" x14ac:dyDescent="0.3">
      <c r="A15" s="9" t="s">
        <v>1</v>
      </c>
      <c r="B15" s="6" t="s">
        <v>44</v>
      </c>
      <c r="C15" s="4">
        <v>95</v>
      </c>
      <c r="D15" s="6" t="s">
        <v>46</v>
      </c>
    </row>
    <row r="16" spans="1:4" ht="28.8" x14ac:dyDescent="0.3">
      <c r="A16" s="9" t="s">
        <v>1</v>
      </c>
      <c r="B16" s="6" t="s">
        <v>45</v>
      </c>
      <c r="C16" s="4">
        <v>65</v>
      </c>
      <c r="D16" s="6" t="s">
        <v>47</v>
      </c>
    </row>
    <row r="17" spans="1:4" ht="28.8" x14ac:dyDescent="0.3">
      <c r="A17" s="9" t="s">
        <v>1</v>
      </c>
      <c r="B17" s="6" t="s">
        <v>48</v>
      </c>
      <c r="C17" s="4">
        <v>70</v>
      </c>
      <c r="D17" s="6" t="s">
        <v>49</v>
      </c>
    </row>
    <row r="18" spans="1:4" ht="43.2" x14ac:dyDescent="0.3">
      <c r="A18" s="9" t="s">
        <v>12</v>
      </c>
      <c r="B18" s="6" t="s">
        <v>50</v>
      </c>
      <c r="C18" s="4"/>
      <c r="D18" s="6" t="s">
        <v>51</v>
      </c>
    </row>
    <row r="19" spans="1:4" ht="28.8" x14ac:dyDescent="0.3">
      <c r="A19" s="9" t="s">
        <v>1</v>
      </c>
      <c r="B19" s="6" t="s">
        <v>52</v>
      </c>
      <c r="C19" s="4">
        <v>65</v>
      </c>
      <c r="D19" s="6" t="s">
        <v>53</v>
      </c>
    </row>
    <row r="20" spans="1:4" ht="43.2" x14ac:dyDescent="0.3">
      <c r="A20" s="9" t="s">
        <v>1</v>
      </c>
      <c r="B20" s="6" t="s">
        <v>54</v>
      </c>
      <c r="C20" s="4">
        <v>75</v>
      </c>
      <c r="D20" s="6" t="s">
        <v>55</v>
      </c>
    </row>
    <row r="21" spans="1:4" x14ac:dyDescent="0.3">
      <c r="A21" s="9" t="s">
        <v>12</v>
      </c>
      <c r="B21" s="6" t="s">
        <v>56</v>
      </c>
      <c r="C21" s="4"/>
      <c r="D21" s="6"/>
    </row>
    <row r="22" spans="1:4" x14ac:dyDescent="0.3">
      <c r="A22" s="9" t="s">
        <v>1</v>
      </c>
      <c r="B22" s="6" t="s">
        <v>57</v>
      </c>
      <c r="C22" s="4" t="s">
        <v>58</v>
      </c>
      <c r="D22" s="6"/>
    </row>
    <row r="23" spans="1:4" ht="43.2" x14ac:dyDescent="0.3">
      <c r="A23" s="9" t="s">
        <v>1</v>
      </c>
      <c r="B23" s="6" t="s">
        <v>59</v>
      </c>
      <c r="C23" s="4" t="s">
        <v>177</v>
      </c>
      <c r="D23" s="6"/>
    </row>
    <row r="24" spans="1:4" x14ac:dyDescent="0.3">
      <c r="A24" s="9" t="s">
        <v>11</v>
      </c>
      <c r="B24" s="6" t="s">
        <v>60</v>
      </c>
      <c r="C24" s="4"/>
      <c r="D24" s="6"/>
    </row>
    <row r="25" spans="1:4" x14ac:dyDescent="0.3">
      <c r="A25" s="9" t="s">
        <v>1</v>
      </c>
      <c r="B25" s="6" t="s">
        <v>61</v>
      </c>
      <c r="C25" s="4">
        <v>30</v>
      </c>
      <c r="D25" s="6" t="s">
        <v>104</v>
      </c>
    </row>
    <row r="26" spans="1:4" x14ac:dyDescent="0.3">
      <c r="A26" s="9" t="s">
        <v>1</v>
      </c>
      <c r="B26" s="6" t="s">
        <v>62</v>
      </c>
      <c r="C26" s="4">
        <v>50</v>
      </c>
      <c r="D26" s="6" t="s">
        <v>72</v>
      </c>
    </row>
    <row r="27" spans="1:4" x14ac:dyDescent="0.3">
      <c r="A27" s="9" t="s">
        <v>1</v>
      </c>
      <c r="B27" s="6" t="s">
        <v>63</v>
      </c>
      <c r="C27" s="4">
        <v>45</v>
      </c>
      <c r="D27" s="6" t="s">
        <v>71</v>
      </c>
    </row>
    <row r="28" spans="1:4" x14ac:dyDescent="0.3">
      <c r="A28" s="9" t="s">
        <v>1</v>
      </c>
      <c r="B28" s="6" t="s">
        <v>64</v>
      </c>
      <c r="C28" s="4">
        <v>55</v>
      </c>
      <c r="D28" s="6" t="s">
        <v>70</v>
      </c>
    </row>
    <row r="29" spans="1:4" ht="28.8" x14ac:dyDescent="0.3">
      <c r="A29" s="9" t="s">
        <v>1</v>
      </c>
      <c r="B29" s="6" t="s">
        <v>65</v>
      </c>
      <c r="C29" s="4" t="s">
        <v>66</v>
      </c>
      <c r="D29" s="6" t="s">
        <v>69</v>
      </c>
    </row>
    <row r="30" spans="1:4" ht="28.8" x14ac:dyDescent="0.3">
      <c r="A30" s="9" t="s">
        <v>1</v>
      </c>
      <c r="B30" s="6" t="s">
        <v>67</v>
      </c>
      <c r="C30" s="4">
        <v>60</v>
      </c>
      <c r="D30" s="6" t="s">
        <v>68</v>
      </c>
    </row>
    <row r="31" spans="1:4" x14ac:dyDescent="0.3">
      <c r="A31" s="9" t="s">
        <v>11</v>
      </c>
      <c r="B31" s="6" t="s">
        <v>37</v>
      </c>
      <c r="C31" s="4"/>
      <c r="D31" s="6" t="s">
        <v>40</v>
      </c>
    </row>
    <row r="32" spans="1:4" x14ac:dyDescent="0.3">
      <c r="A32" s="9" t="s">
        <v>1</v>
      </c>
      <c r="B32" s="6" t="s">
        <v>38</v>
      </c>
      <c r="C32" s="4">
        <v>30</v>
      </c>
      <c r="D32" s="6"/>
    </row>
    <row r="33" spans="1:4" x14ac:dyDescent="0.3">
      <c r="A33" s="9" t="s">
        <v>1</v>
      </c>
      <c r="B33" s="6" t="s">
        <v>39</v>
      </c>
      <c r="C33" s="4">
        <v>50</v>
      </c>
      <c r="D33" s="6"/>
    </row>
    <row r="34" spans="1:4" x14ac:dyDescent="0.3">
      <c r="A34" s="9" t="s">
        <v>11</v>
      </c>
      <c r="B34" s="6" t="s">
        <v>5</v>
      </c>
      <c r="C34" s="4"/>
      <c r="D34" s="6"/>
    </row>
    <row r="35" spans="1:4" x14ac:dyDescent="0.3">
      <c r="A35" s="9" t="s">
        <v>1</v>
      </c>
      <c r="B35" s="6" t="s">
        <v>6</v>
      </c>
      <c r="C35" s="5">
        <v>160</v>
      </c>
      <c r="D35" s="6"/>
    </row>
    <row r="36" spans="1:4" x14ac:dyDescent="0.3">
      <c r="A36" s="9" t="s">
        <v>1</v>
      </c>
      <c r="B36" s="6" t="s">
        <v>7</v>
      </c>
      <c r="C36" s="5">
        <v>60</v>
      </c>
      <c r="D36" s="6"/>
    </row>
    <row r="37" spans="1:4" x14ac:dyDescent="0.3">
      <c r="A37" s="9" t="s">
        <v>1</v>
      </c>
      <c r="B37" s="6" t="s">
        <v>8</v>
      </c>
      <c r="C37" s="5">
        <v>70</v>
      </c>
      <c r="D37" s="6"/>
    </row>
    <row r="38" spans="1:4" x14ac:dyDescent="0.3">
      <c r="A38" s="9" t="s">
        <v>1</v>
      </c>
      <c r="B38" s="6" t="s">
        <v>9</v>
      </c>
      <c r="C38" s="5">
        <v>80</v>
      </c>
      <c r="D38" s="6"/>
    </row>
    <row r="39" spans="1:4" x14ac:dyDescent="0.3">
      <c r="A39" s="9" t="s">
        <v>11</v>
      </c>
      <c r="B39" s="6" t="s">
        <v>10</v>
      </c>
      <c r="C39" s="4"/>
      <c r="D39" s="6"/>
    </row>
    <row r="40" spans="1:4" x14ac:dyDescent="0.3">
      <c r="A40" s="9" t="s">
        <v>12</v>
      </c>
      <c r="B40" s="6" t="s">
        <v>13</v>
      </c>
      <c r="C40" s="4"/>
      <c r="D40" s="6"/>
    </row>
    <row r="41" spans="1:4" x14ac:dyDescent="0.3">
      <c r="A41" s="9" t="s">
        <v>1</v>
      </c>
      <c r="B41" s="6" t="s">
        <v>14</v>
      </c>
      <c r="C41" s="5">
        <v>24</v>
      </c>
      <c r="D41" s="6"/>
    </row>
    <row r="42" spans="1:4" x14ac:dyDescent="0.3">
      <c r="A42" s="9" t="s">
        <v>1</v>
      </c>
      <c r="B42" s="6" t="s">
        <v>15</v>
      </c>
      <c r="C42" s="5">
        <v>15</v>
      </c>
      <c r="D42" s="6"/>
    </row>
    <row r="43" spans="1:4" x14ac:dyDescent="0.3">
      <c r="A43" s="9" t="s">
        <v>1</v>
      </c>
      <c r="B43" s="6" t="s">
        <v>16</v>
      </c>
      <c r="C43" s="5">
        <v>18</v>
      </c>
      <c r="D43" s="6"/>
    </row>
    <row r="44" spans="1:4" x14ac:dyDescent="0.3">
      <c r="A44" s="9" t="s">
        <v>1</v>
      </c>
      <c r="B44" s="6" t="s">
        <v>17</v>
      </c>
      <c r="C44" s="6">
        <v>45</v>
      </c>
      <c r="D44" s="6"/>
    </row>
    <row r="45" spans="1:4" x14ac:dyDescent="0.3">
      <c r="A45" s="9" t="s">
        <v>12</v>
      </c>
      <c r="B45" s="6" t="s">
        <v>19</v>
      </c>
      <c r="C45" s="4"/>
      <c r="D45" s="6"/>
    </row>
    <row r="46" spans="1:4" x14ac:dyDescent="0.3">
      <c r="A46" s="9" t="s">
        <v>1</v>
      </c>
      <c r="B46" s="6" t="s">
        <v>18</v>
      </c>
      <c r="C46" s="4">
        <v>70</v>
      </c>
      <c r="D46" s="6"/>
    </row>
    <row r="47" spans="1:4" x14ac:dyDescent="0.3">
      <c r="A47" s="9" t="s">
        <v>1</v>
      </c>
      <c r="B47" s="6" t="s">
        <v>20</v>
      </c>
      <c r="C47" s="4">
        <v>45</v>
      </c>
      <c r="D47" s="6"/>
    </row>
    <row r="48" spans="1:4" x14ac:dyDescent="0.3">
      <c r="A48" s="9" t="s">
        <v>1</v>
      </c>
      <c r="B48" s="6" t="s">
        <v>21</v>
      </c>
      <c r="C48" s="4">
        <v>55</v>
      </c>
      <c r="D48" s="6"/>
    </row>
    <row r="49" spans="1:4" x14ac:dyDescent="0.3">
      <c r="A49" s="9" t="s">
        <v>1</v>
      </c>
      <c r="B49" s="6" t="s">
        <v>22</v>
      </c>
      <c r="C49" s="4">
        <v>20</v>
      </c>
      <c r="D49" s="6"/>
    </row>
    <row r="50" spans="1:4" x14ac:dyDescent="0.3">
      <c r="A50" s="9" t="s">
        <v>1</v>
      </c>
      <c r="B50" s="6" t="s">
        <v>23</v>
      </c>
      <c r="C50" s="4">
        <v>30</v>
      </c>
      <c r="D50" s="6"/>
    </row>
    <row r="51" spans="1:4" x14ac:dyDescent="0.3">
      <c r="A51" s="9" t="s">
        <v>1</v>
      </c>
      <c r="B51" s="6" t="s">
        <v>24</v>
      </c>
      <c r="C51" s="4">
        <v>80</v>
      </c>
      <c r="D51" s="6"/>
    </row>
    <row r="52" spans="1:4" x14ac:dyDescent="0.3">
      <c r="A52" s="9" t="s">
        <v>1</v>
      </c>
      <c r="B52" s="6" t="s">
        <v>25</v>
      </c>
      <c r="C52" s="4">
        <v>45</v>
      </c>
      <c r="D52" s="6"/>
    </row>
    <row r="53" spans="1:4" x14ac:dyDescent="0.3">
      <c r="A53" s="9" t="s">
        <v>12</v>
      </c>
      <c r="B53" s="6" t="s">
        <v>27</v>
      </c>
      <c r="C53" s="4"/>
      <c r="D53" s="6"/>
    </row>
    <row r="54" spans="1:4" x14ac:dyDescent="0.3">
      <c r="A54" s="9" t="s">
        <v>1</v>
      </c>
      <c r="B54" s="6" t="s">
        <v>26</v>
      </c>
      <c r="C54" s="4">
        <v>130</v>
      </c>
      <c r="D54" s="6"/>
    </row>
    <row r="55" spans="1:4" x14ac:dyDescent="0.3">
      <c r="A55" s="9" t="s">
        <v>1</v>
      </c>
      <c r="B55" s="6" t="s">
        <v>28</v>
      </c>
      <c r="C55" s="4">
        <v>115</v>
      </c>
      <c r="D55" s="6"/>
    </row>
    <row r="56" spans="1:4" x14ac:dyDescent="0.3">
      <c r="A56" s="9" t="s">
        <v>1</v>
      </c>
      <c r="B56" s="6" t="s">
        <v>29</v>
      </c>
      <c r="C56" s="4">
        <v>85</v>
      </c>
      <c r="D56" s="6"/>
    </row>
    <row r="57" spans="1:4" x14ac:dyDescent="0.3">
      <c r="A57" s="9" t="s">
        <v>1</v>
      </c>
      <c r="B57" s="6" t="s">
        <v>30</v>
      </c>
      <c r="C57" s="4">
        <v>34</v>
      </c>
      <c r="D57" s="6"/>
    </row>
    <row r="58" spans="1:4" x14ac:dyDescent="0.3">
      <c r="A58" s="9" t="s">
        <v>12</v>
      </c>
      <c r="B58" s="6" t="s">
        <v>31</v>
      </c>
      <c r="C58" s="4"/>
      <c r="D58" s="6"/>
    </row>
    <row r="59" spans="1:4" x14ac:dyDescent="0.3">
      <c r="A59" s="9" t="s">
        <v>1</v>
      </c>
      <c r="B59" s="6" t="s">
        <v>32</v>
      </c>
      <c r="C59" s="4">
        <v>50</v>
      </c>
      <c r="D59" s="6"/>
    </row>
    <row r="60" spans="1:4" x14ac:dyDescent="0.3">
      <c r="A60" s="9" t="s">
        <v>1</v>
      </c>
      <c r="B60" s="6" t="s">
        <v>33</v>
      </c>
      <c r="C60" s="4">
        <v>50</v>
      </c>
      <c r="D60" s="6"/>
    </row>
    <row r="61" spans="1:4" x14ac:dyDescent="0.3">
      <c r="A61" s="9" t="s">
        <v>11</v>
      </c>
      <c r="B61" s="6" t="s">
        <v>34</v>
      </c>
      <c r="C61" s="4"/>
      <c r="D61" s="6"/>
    </row>
    <row r="62" spans="1:4" x14ac:dyDescent="0.3">
      <c r="A62" s="9" t="s">
        <v>1</v>
      </c>
      <c r="B62" s="6" t="s">
        <v>35</v>
      </c>
      <c r="C62" s="4">
        <v>35</v>
      </c>
      <c r="D62" s="6"/>
    </row>
    <row r="63" spans="1:4" x14ac:dyDescent="0.3">
      <c r="A63" s="9" t="s">
        <v>1</v>
      </c>
      <c r="B63" s="6" t="s">
        <v>14</v>
      </c>
      <c r="C63" s="4">
        <v>25</v>
      </c>
      <c r="D63" s="6"/>
    </row>
    <row r="64" spans="1:4" x14ac:dyDescent="0.3">
      <c r="A64" s="9" t="s">
        <v>1</v>
      </c>
      <c r="B64" s="6" t="s">
        <v>36</v>
      </c>
      <c r="C64" s="4">
        <v>35</v>
      </c>
      <c r="D64" s="6"/>
    </row>
  </sheetData>
  <mergeCells count="9">
    <mergeCell ref="B8:D8"/>
    <mergeCell ref="B9:D9"/>
    <mergeCell ref="B10:D10"/>
    <mergeCell ref="B2:D2"/>
    <mergeCell ref="B3:D3"/>
    <mergeCell ref="B4:D4"/>
    <mergeCell ref="B5:D5"/>
    <mergeCell ref="B6:D6"/>
    <mergeCell ref="B7:D7"/>
  </mergeCells>
  <conditionalFormatting sqref="A65:XFD1048576 E13:XFD64">
    <cfRule type="expression" dxfId="17" priority="6">
      <formula>AND(OR($A13="group",$A13="subgroup"), NOT(ISBLANK($C13)))</formula>
    </cfRule>
    <cfRule type="expression" dxfId="16" priority="7">
      <formula>AND($A13="item", ISBLANK($C13))</formula>
    </cfRule>
    <cfRule type="expression" dxfId="15" priority="8">
      <formula>AND(NOT(ISBLANK($A13)), ISBLANK($B13))</formula>
    </cfRule>
    <cfRule type="expression" dxfId="14" priority="9">
      <formula>$A13="group"</formula>
    </cfRule>
    <cfRule type="expression" dxfId="13" priority="10">
      <formula>$A13="subgroup"</formula>
    </cfRule>
    <cfRule type="expression" dxfId="12" priority="11">
      <formula>$A13="item"</formula>
    </cfRule>
  </conditionalFormatting>
  <conditionalFormatting sqref="A13:D64">
    <cfRule type="expression" dxfId="11" priority="4">
      <formula>$A13="group"</formula>
    </cfRule>
    <cfRule type="expression" dxfId="10" priority="5">
      <formula>$A13="subgroup"</formula>
    </cfRule>
  </conditionalFormatting>
  <conditionalFormatting sqref="B13:B64">
    <cfRule type="expression" dxfId="9" priority="3">
      <formula>AND(NOT($A13=""), $B13="")</formula>
    </cfRule>
  </conditionalFormatting>
  <conditionalFormatting sqref="C13:C64">
    <cfRule type="expression" dxfId="8" priority="1">
      <formula>AND(OR($A13="group",$A13="subgroup"), NOT($C13=""))</formula>
    </cfRule>
    <cfRule type="expression" dxfId="7" priority="2">
      <formula>AND($A13="item", $C13="")</formula>
    </cfRule>
  </conditionalFormatting>
  <dataValidations disablePrompts="1" count="2">
    <dataValidation type="list" allowBlank="1" showInputMessage="1" showErrorMessage="1" sqref="A65:A1048576" xr:uid="{D3C35D95-C9B1-422C-BDE8-F65588DF95FC}">
      <formula1>"group,subgroup,item"</formula1>
    </dataValidation>
    <dataValidation type="list" allowBlank="1" showInputMessage="1" showErrorMessage="1" sqref="A13:A64" xr:uid="{DB8E4A73-D1E4-4E3F-BFA3-5EBED4DF2CEE}">
      <formula1>"item, group, subgroup"</formula1>
    </dataValidation>
  </dataValidations>
  <pageMargins left="0.7" right="0.7" top="0.75" bottom="0.75" header="0.3" footer="0.3"/>
  <pageSetup scale="55" fitToWidth="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pageSetUpPr fitToPage="1"/>
  </sheetPr>
  <dimension ref="A1:D64"/>
  <sheetViews>
    <sheetView workbookViewId="0">
      <selection activeCell="B7" sqref="B7:D7"/>
    </sheetView>
  </sheetViews>
  <sheetFormatPr defaultColWidth="0" defaultRowHeight="14.4" x14ac:dyDescent="0.3"/>
  <cols>
    <col min="1" max="1" width="23.109375" bestFit="1" customWidth="1"/>
    <col min="2" max="2" width="40.6640625" customWidth="1"/>
    <col min="3" max="3" width="15.6640625" customWidth="1"/>
    <col min="4" max="4" width="100.6640625" customWidth="1"/>
    <col min="5" max="16384" width="9.109375" hidden="1"/>
  </cols>
  <sheetData>
    <row r="1" spans="1:4" s="10" customFormat="1" x14ac:dyDescent="0.3">
      <c r="A1" s="10" t="s">
        <v>86</v>
      </c>
    </row>
    <row r="2" spans="1:4" x14ac:dyDescent="0.3">
      <c r="A2" s="11" t="s">
        <v>2</v>
      </c>
      <c r="B2" s="19" t="s">
        <v>116</v>
      </c>
      <c r="C2" s="19"/>
      <c r="D2" s="19"/>
    </row>
    <row r="3" spans="1:4" x14ac:dyDescent="0.3">
      <c r="A3" s="11" t="s">
        <v>87</v>
      </c>
      <c r="B3" s="19" t="s">
        <v>117</v>
      </c>
      <c r="C3" s="19"/>
      <c r="D3" s="19"/>
    </row>
    <row r="4" spans="1:4" ht="93" customHeight="1" x14ac:dyDescent="0.3">
      <c r="A4" s="11" t="s">
        <v>88</v>
      </c>
      <c r="B4" s="25" t="s">
        <v>118</v>
      </c>
      <c r="C4" s="19"/>
      <c r="D4" s="19"/>
    </row>
    <row r="5" spans="1:4" x14ac:dyDescent="0.3">
      <c r="A5" s="11" t="s">
        <v>105</v>
      </c>
      <c r="B5" s="19" t="str">
        <f>"Text: " &amp; TEXT(RIGHT(B6,10), "[&lt;=9999999]###-####;(###) ###-####")</f>
        <v>Text: (437) 385-8925</v>
      </c>
      <c r="C5" s="19"/>
      <c r="D5" s="19"/>
    </row>
    <row r="6" spans="1:4" x14ac:dyDescent="0.3">
      <c r="A6" s="11" t="s">
        <v>106</v>
      </c>
      <c r="B6" s="19" t="str">
        <f>Kim!B6</f>
        <v>sms:+14373858925</v>
      </c>
      <c r="C6" s="19"/>
      <c r="D6" s="19"/>
    </row>
    <row r="7" spans="1:4" x14ac:dyDescent="0.3">
      <c r="A7" s="11" t="s">
        <v>107</v>
      </c>
      <c r="B7" s="19"/>
      <c r="C7" s="19"/>
      <c r="D7" s="19"/>
    </row>
    <row r="8" spans="1:4" x14ac:dyDescent="0.3">
      <c r="A8" s="11" t="s">
        <v>108</v>
      </c>
      <c r="B8" s="19"/>
      <c r="C8" s="19"/>
      <c r="D8" s="19"/>
    </row>
    <row r="9" spans="1:4" x14ac:dyDescent="0.3">
      <c r="A9" s="11" t="s">
        <v>109</v>
      </c>
      <c r="B9" s="19"/>
      <c r="C9" s="19"/>
      <c r="D9" s="19"/>
    </row>
    <row r="10" spans="1:4" x14ac:dyDescent="0.3">
      <c r="A10" s="11" t="s">
        <v>149</v>
      </c>
      <c r="B10" s="22" t="b">
        <v>1</v>
      </c>
      <c r="C10" s="22"/>
      <c r="D10" s="22"/>
    </row>
    <row r="11" spans="1:4" s="26" customFormat="1" x14ac:dyDescent="0.3">
      <c r="A11" s="26" t="s">
        <v>85</v>
      </c>
    </row>
    <row r="12" spans="1:4" s="2" customFormat="1" x14ac:dyDescent="0.3">
      <c r="A12" s="7" t="s">
        <v>0</v>
      </c>
      <c r="B12" s="8" t="s">
        <v>2</v>
      </c>
      <c r="C12" s="3" t="s">
        <v>4</v>
      </c>
      <c r="D12" s="8" t="s">
        <v>3</v>
      </c>
    </row>
    <row r="13" spans="1:4" s="1" customFormat="1" x14ac:dyDescent="0.3">
      <c r="A13" s="9" t="s">
        <v>11</v>
      </c>
      <c r="B13" s="6" t="s">
        <v>41</v>
      </c>
      <c r="C13" s="4"/>
      <c r="D13" s="6"/>
    </row>
    <row r="14" spans="1:4" s="1" customFormat="1" ht="43.2" x14ac:dyDescent="0.3">
      <c r="A14" s="9" t="s">
        <v>12</v>
      </c>
      <c r="B14" s="6" t="s">
        <v>42</v>
      </c>
      <c r="C14" s="4"/>
      <c r="D14" s="6" t="s">
        <v>43</v>
      </c>
    </row>
    <row r="15" spans="1:4" s="1" customFormat="1" ht="43.2" x14ac:dyDescent="0.3">
      <c r="A15" s="9" t="s">
        <v>1</v>
      </c>
      <c r="B15" s="6" t="s">
        <v>44</v>
      </c>
      <c r="C15" s="4">
        <v>95</v>
      </c>
      <c r="D15" s="6" t="s">
        <v>46</v>
      </c>
    </row>
    <row r="16" spans="1:4" s="1" customFormat="1" ht="28.8" x14ac:dyDescent="0.3">
      <c r="A16" s="9" t="s">
        <v>1</v>
      </c>
      <c r="B16" s="6" t="s">
        <v>45</v>
      </c>
      <c r="C16" s="4">
        <v>65</v>
      </c>
      <c r="D16" s="6" t="s">
        <v>47</v>
      </c>
    </row>
    <row r="17" spans="1:4" s="1" customFormat="1" ht="28.8" x14ac:dyDescent="0.3">
      <c r="A17" s="9" t="s">
        <v>1</v>
      </c>
      <c r="B17" s="6" t="s">
        <v>48</v>
      </c>
      <c r="C17" s="4">
        <v>70</v>
      </c>
      <c r="D17" s="6" t="s">
        <v>49</v>
      </c>
    </row>
    <row r="18" spans="1:4" s="1" customFormat="1" ht="43.2" x14ac:dyDescent="0.3">
      <c r="A18" s="9" t="s">
        <v>12</v>
      </c>
      <c r="B18" s="6" t="s">
        <v>50</v>
      </c>
      <c r="C18" s="4"/>
      <c r="D18" s="6" t="s">
        <v>51</v>
      </c>
    </row>
    <row r="19" spans="1:4" s="1" customFormat="1" ht="28.8" x14ac:dyDescent="0.3">
      <c r="A19" s="9" t="s">
        <v>1</v>
      </c>
      <c r="B19" s="6" t="s">
        <v>52</v>
      </c>
      <c r="C19" s="4">
        <v>65</v>
      </c>
      <c r="D19" s="6" t="s">
        <v>53</v>
      </c>
    </row>
    <row r="20" spans="1:4" s="1" customFormat="1" ht="43.2" x14ac:dyDescent="0.3">
      <c r="A20" s="9" t="s">
        <v>1</v>
      </c>
      <c r="B20" s="6" t="s">
        <v>54</v>
      </c>
      <c r="C20" s="4">
        <v>75</v>
      </c>
      <c r="D20" s="6" t="s">
        <v>55</v>
      </c>
    </row>
    <row r="21" spans="1:4" s="1" customFormat="1" x14ac:dyDescent="0.3">
      <c r="A21" s="9" t="s">
        <v>12</v>
      </c>
      <c r="B21" s="6" t="s">
        <v>56</v>
      </c>
      <c r="C21" s="4"/>
      <c r="D21" s="6"/>
    </row>
    <row r="22" spans="1:4" s="1" customFormat="1" x14ac:dyDescent="0.3">
      <c r="A22" s="9" t="s">
        <v>1</v>
      </c>
      <c r="B22" s="6" t="s">
        <v>57</v>
      </c>
      <c r="C22" s="4" t="s">
        <v>58</v>
      </c>
      <c r="D22" s="6"/>
    </row>
    <row r="23" spans="1:4" s="1" customFormat="1" ht="43.2" x14ac:dyDescent="0.3">
      <c r="A23" s="9" t="s">
        <v>1</v>
      </c>
      <c r="B23" s="6" t="s">
        <v>59</v>
      </c>
      <c r="C23" s="4" t="s">
        <v>73</v>
      </c>
      <c r="D23" s="6"/>
    </row>
    <row r="24" spans="1:4" s="1" customFormat="1" x14ac:dyDescent="0.3">
      <c r="A24" s="9" t="s">
        <v>11</v>
      </c>
      <c r="B24" s="6" t="s">
        <v>60</v>
      </c>
      <c r="C24" s="4"/>
      <c r="D24" s="6"/>
    </row>
    <row r="25" spans="1:4" s="1" customFormat="1" x14ac:dyDescent="0.3">
      <c r="A25" s="9" t="s">
        <v>1</v>
      </c>
      <c r="B25" s="6" t="s">
        <v>61</v>
      </c>
      <c r="C25" s="4">
        <v>30</v>
      </c>
      <c r="D25" s="6" t="s">
        <v>104</v>
      </c>
    </row>
    <row r="26" spans="1:4" s="1" customFormat="1" x14ac:dyDescent="0.3">
      <c r="A26" s="9" t="s">
        <v>1</v>
      </c>
      <c r="B26" s="6" t="s">
        <v>62</v>
      </c>
      <c r="C26" s="4">
        <v>50</v>
      </c>
      <c r="D26" s="6" t="s">
        <v>72</v>
      </c>
    </row>
    <row r="27" spans="1:4" s="1" customFormat="1" x14ac:dyDescent="0.3">
      <c r="A27" s="9" t="s">
        <v>1</v>
      </c>
      <c r="B27" s="6" t="s">
        <v>63</v>
      </c>
      <c r="C27" s="4">
        <v>45</v>
      </c>
      <c r="D27" s="6" t="s">
        <v>71</v>
      </c>
    </row>
    <row r="28" spans="1:4" s="1" customFormat="1" x14ac:dyDescent="0.3">
      <c r="A28" s="9" t="s">
        <v>1</v>
      </c>
      <c r="B28" s="6" t="s">
        <v>64</v>
      </c>
      <c r="C28" s="4">
        <v>55</v>
      </c>
      <c r="D28" s="6" t="s">
        <v>70</v>
      </c>
    </row>
    <row r="29" spans="1:4" s="1" customFormat="1" ht="28.8" x14ac:dyDescent="0.3">
      <c r="A29" s="9" t="s">
        <v>1</v>
      </c>
      <c r="B29" s="6" t="s">
        <v>65</v>
      </c>
      <c r="C29" s="4" t="s">
        <v>66</v>
      </c>
      <c r="D29" s="6" t="s">
        <v>69</v>
      </c>
    </row>
    <row r="30" spans="1:4" s="1" customFormat="1" ht="28.8" x14ac:dyDescent="0.3">
      <c r="A30" s="9" t="s">
        <v>1</v>
      </c>
      <c r="B30" s="6" t="s">
        <v>67</v>
      </c>
      <c r="C30" s="4">
        <v>60</v>
      </c>
      <c r="D30" s="6" t="s">
        <v>68</v>
      </c>
    </row>
    <row r="31" spans="1:4" s="1" customFormat="1" x14ac:dyDescent="0.3">
      <c r="A31" s="9" t="s">
        <v>11</v>
      </c>
      <c r="B31" s="6" t="s">
        <v>37</v>
      </c>
      <c r="C31" s="4"/>
      <c r="D31" s="6" t="s">
        <v>40</v>
      </c>
    </row>
    <row r="32" spans="1:4" s="1" customFormat="1" x14ac:dyDescent="0.3">
      <c r="A32" s="9" t="s">
        <v>1</v>
      </c>
      <c r="B32" s="6" t="s">
        <v>38</v>
      </c>
      <c r="C32" s="4">
        <v>30</v>
      </c>
      <c r="D32" s="6"/>
    </row>
    <row r="33" spans="1:4" s="1" customFormat="1" x14ac:dyDescent="0.3">
      <c r="A33" s="9" t="s">
        <v>1</v>
      </c>
      <c r="B33" s="6" t="s">
        <v>39</v>
      </c>
      <c r="C33" s="4">
        <v>50</v>
      </c>
      <c r="D33" s="6"/>
    </row>
    <row r="34" spans="1:4" s="1" customFormat="1" x14ac:dyDescent="0.3">
      <c r="A34" s="9" t="s">
        <v>11</v>
      </c>
      <c r="B34" s="6" t="s">
        <v>5</v>
      </c>
      <c r="C34" s="4"/>
      <c r="D34" s="6"/>
    </row>
    <row r="35" spans="1:4" s="1" customFormat="1" x14ac:dyDescent="0.3">
      <c r="A35" s="9" t="s">
        <v>1</v>
      </c>
      <c r="B35" s="6" t="s">
        <v>6</v>
      </c>
      <c r="C35" s="5">
        <v>160</v>
      </c>
      <c r="D35" s="6"/>
    </row>
    <row r="36" spans="1:4" s="1" customFormat="1" x14ac:dyDescent="0.3">
      <c r="A36" s="9" t="s">
        <v>1</v>
      </c>
      <c r="B36" s="6" t="s">
        <v>7</v>
      </c>
      <c r="C36" s="5">
        <v>60</v>
      </c>
      <c r="D36" s="6"/>
    </row>
    <row r="37" spans="1:4" s="1" customFormat="1" x14ac:dyDescent="0.3">
      <c r="A37" s="9" t="s">
        <v>1</v>
      </c>
      <c r="B37" s="6" t="s">
        <v>8</v>
      </c>
      <c r="C37" s="5">
        <v>70</v>
      </c>
      <c r="D37" s="6"/>
    </row>
    <row r="38" spans="1:4" s="1" customFormat="1" x14ac:dyDescent="0.3">
      <c r="A38" s="9" t="s">
        <v>1</v>
      </c>
      <c r="B38" s="6" t="s">
        <v>9</v>
      </c>
      <c r="C38" s="5">
        <v>80</v>
      </c>
      <c r="D38" s="6"/>
    </row>
    <row r="39" spans="1:4" s="1" customFormat="1" x14ac:dyDescent="0.3">
      <c r="A39" s="9" t="s">
        <v>11</v>
      </c>
      <c r="B39" s="6" t="s">
        <v>10</v>
      </c>
      <c r="C39" s="4"/>
      <c r="D39" s="6"/>
    </row>
    <row r="40" spans="1:4" s="1" customFormat="1" x14ac:dyDescent="0.3">
      <c r="A40" s="9" t="s">
        <v>12</v>
      </c>
      <c r="B40" s="6" t="s">
        <v>13</v>
      </c>
      <c r="C40" s="4"/>
      <c r="D40" s="6"/>
    </row>
    <row r="41" spans="1:4" s="1" customFormat="1" x14ac:dyDescent="0.3">
      <c r="A41" s="9" t="s">
        <v>1</v>
      </c>
      <c r="B41" s="6" t="s">
        <v>14</v>
      </c>
      <c r="C41" s="5">
        <v>24</v>
      </c>
      <c r="D41" s="6"/>
    </row>
    <row r="42" spans="1:4" s="1" customFormat="1" x14ac:dyDescent="0.3">
      <c r="A42" s="9" t="s">
        <v>1</v>
      </c>
      <c r="B42" s="6" t="s">
        <v>15</v>
      </c>
      <c r="C42" s="5">
        <v>15</v>
      </c>
      <c r="D42" s="6"/>
    </row>
    <row r="43" spans="1:4" s="1" customFormat="1" x14ac:dyDescent="0.3">
      <c r="A43" s="9" t="s">
        <v>1</v>
      </c>
      <c r="B43" s="6" t="s">
        <v>16</v>
      </c>
      <c r="C43" s="5">
        <v>18</v>
      </c>
      <c r="D43" s="6"/>
    </row>
    <row r="44" spans="1:4" s="1" customFormat="1" x14ac:dyDescent="0.3">
      <c r="A44" s="9" t="s">
        <v>1</v>
      </c>
      <c r="B44" s="6" t="s">
        <v>17</v>
      </c>
      <c r="C44" s="6">
        <v>45</v>
      </c>
      <c r="D44" s="6"/>
    </row>
    <row r="45" spans="1:4" s="1" customFormat="1" x14ac:dyDescent="0.3">
      <c r="A45" s="9" t="s">
        <v>12</v>
      </c>
      <c r="B45" s="6" t="s">
        <v>19</v>
      </c>
      <c r="C45" s="4"/>
      <c r="D45" s="6"/>
    </row>
    <row r="46" spans="1:4" s="1" customFormat="1" x14ac:dyDescent="0.3">
      <c r="A46" s="9" t="s">
        <v>1</v>
      </c>
      <c r="B46" s="6" t="s">
        <v>18</v>
      </c>
      <c r="C46" s="4">
        <v>70</v>
      </c>
      <c r="D46" s="6"/>
    </row>
    <row r="47" spans="1:4" s="1" customFormat="1" x14ac:dyDescent="0.3">
      <c r="A47" s="9" t="s">
        <v>1</v>
      </c>
      <c r="B47" s="6" t="s">
        <v>20</v>
      </c>
      <c r="C47" s="4">
        <v>45</v>
      </c>
      <c r="D47" s="6"/>
    </row>
    <row r="48" spans="1:4" s="1" customFormat="1" x14ac:dyDescent="0.3">
      <c r="A48" s="9" t="s">
        <v>1</v>
      </c>
      <c r="B48" s="6" t="s">
        <v>21</v>
      </c>
      <c r="C48" s="4">
        <v>55</v>
      </c>
      <c r="D48" s="6"/>
    </row>
    <row r="49" spans="1:4" s="1" customFormat="1" x14ac:dyDescent="0.3">
      <c r="A49" s="9" t="s">
        <v>1</v>
      </c>
      <c r="B49" s="6" t="s">
        <v>22</v>
      </c>
      <c r="C49" s="4">
        <v>20</v>
      </c>
      <c r="D49" s="6"/>
    </row>
    <row r="50" spans="1:4" s="1" customFormat="1" x14ac:dyDescent="0.3">
      <c r="A50" s="9" t="s">
        <v>1</v>
      </c>
      <c r="B50" s="6" t="s">
        <v>23</v>
      </c>
      <c r="C50" s="4">
        <v>30</v>
      </c>
      <c r="D50" s="6"/>
    </row>
    <row r="51" spans="1:4" s="1" customFormat="1" x14ac:dyDescent="0.3">
      <c r="A51" s="9" t="s">
        <v>1</v>
      </c>
      <c r="B51" s="6" t="s">
        <v>24</v>
      </c>
      <c r="C51" s="4">
        <v>80</v>
      </c>
      <c r="D51" s="6"/>
    </row>
    <row r="52" spans="1:4" s="1" customFormat="1" x14ac:dyDescent="0.3">
      <c r="A52" s="9" t="s">
        <v>1</v>
      </c>
      <c r="B52" s="6" t="s">
        <v>25</v>
      </c>
      <c r="C52" s="4">
        <v>45</v>
      </c>
      <c r="D52" s="6"/>
    </row>
    <row r="53" spans="1:4" s="1" customFormat="1" x14ac:dyDescent="0.3">
      <c r="A53" s="9" t="s">
        <v>12</v>
      </c>
      <c r="B53" s="6" t="s">
        <v>27</v>
      </c>
      <c r="C53" s="4"/>
      <c r="D53" s="6"/>
    </row>
    <row r="54" spans="1:4" s="1" customFormat="1" x14ac:dyDescent="0.3">
      <c r="A54" s="9" t="s">
        <v>1</v>
      </c>
      <c r="B54" s="6" t="s">
        <v>26</v>
      </c>
      <c r="C54" s="4">
        <v>130</v>
      </c>
      <c r="D54" s="6"/>
    </row>
    <row r="55" spans="1:4" s="1" customFormat="1" x14ac:dyDescent="0.3">
      <c r="A55" s="9" t="s">
        <v>1</v>
      </c>
      <c r="B55" s="6" t="s">
        <v>28</v>
      </c>
      <c r="C55" s="4">
        <v>115</v>
      </c>
      <c r="D55" s="6"/>
    </row>
    <row r="56" spans="1:4" s="1" customFormat="1" x14ac:dyDescent="0.3">
      <c r="A56" s="9" t="s">
        <v>1</v>
      </c>
      <c r="B56" s="6" t="s">
        <v>29</v>
      </c>
      <c r="C56" s="4">
        <v>85</v>
      </c>
      <c r="D56" s="6"/>
    </row>
    <row r="57" spans="1:4" s="1" customFormat="1" x14ac:dyDescent="0.3">
      <c r="A57" s="9" t="s">
        <v>1</v>
      </c>
      <c r="B57" s="6" t="s">
        <v>30</v>
      </c>
      <c r="C57" s="4">
        <v>34</v>
      </c>
      <c r="D57" s="6"/>
    </row>
    <row r="58" spans="1:4" s="1" customFormat="1" x14ac:dyDescent="0.3">
      <c r="A58" s="9" t="s">
        <v>12</v>
      </c>
      <c r="B58" s="6" t="s">
        <v>31</v>
      </c>
      <c r="C58" s="4"/>
      <c r="D58" s="6"/>
    </row>
    <row r="59" spans="1:4" s="1" customFormat="1" x14ac:dyDescent="0.3">
      <c r="A59" s="9" t="s">
        <v>1</v>
      </c>
      <c r="B59" s="6" t="s">
        <v>32</v>
      </c>
      <c r="C59" s="4">
        <v>50</v>
      </c>
      <c r="D59" s="6"/>
    </row>
    <row r="60" spans="1:4" s="1" customFormat="1" x14ac:dyDescent="0.3">
      <c r="A60" s="9" t="s">
        <v>1</v>
      </c>
      <c r="B60" s="6" t="s">
        <v>33</v>
      </c>
      <c r="C60" s="4">
        <v>50</v>
      </c>
      <c r="D60" s="6"/>
    </row>
    <row r="61" spans="1:4" s="1" customFormat="1" x14ac:dyDescent="0.3">
      <c r="A61" s="9" t="s">
        <v>11</v>
      </c>
      <c r="B61" s="6" t="s">
        <v>34</v>
      </c>
      <c r="C61" s="4"/>
      <c r="D61" s="6"/>
    </row>
    <row r="62" spans="1:4" s="1" customFormat="1" x14ac:dyDescent="0.3">
      <c r="A62" s="9" t="s">
        <v>1</v>
      </c>
      <c r="B62" s="6" t="s">
        <v>35</v>
      </c>
      <c r="C62" s="4">
        <v>35</v>
      </c>
      <c r="D62" s="6"/>
    </row>
    <row r="63" spans="1:4" s="1" customFormat="1" x14ac:dyDescent="0.3">
      <c r="A63" s="9" t="s">
        <v>1</v>
      </c>
      <c r="B63" s="6" t="s">
        <v>14</v>
      </c>
      <c r="C63" s="4">
        <v>25</v>
      </c>
      <c r="D63" s="6"/>
    </row>
    <row r="64" spans="1:4" s="1" customFormat="1" x14ac:dyDescent="0.3">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6" priority="6" stopIfTrue="1" operator="equal">
      <formula>"group"</formula>
    </cfRule>
    <cfRule type="cellIs" dxfId="5" priority="7" stopIfTrue="1" operator="equal">
      <formula>"subgroup"</formula>
    </cfRule>
  </conditionalFormatting>
  <conditionalFormatting sqref="A13:D64">
    <cfRule type="expression" dxfId="4" priority="4">
      <formula>$A13="group"</formula>
    </cfRule>
    <cfRule type="expression" dxfId="3" priority="5">
      <formula>$A13="subgroup"</formula>
    </cfRule>
  </conditionalFormatting>
  <conditionalFormatting sqref="B13:B64">
    <cfRule type="expression" dxfId="2" priority="3">
      <formula>AND(NOT($A13=""), $B13="")</formula>
    </cfRule>
  </conditionalFormatting>
  <conditionalFormatting sqref="C13:C64">
    <cfRule type="expression" dxfId="1" priority="1">
      <formula>AND(OR($A13="group",$A13="subgroup"), NOT($C13=""))</formula>
    </cfRule>
    <cfRule type="expression" dxfId="0"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pageSetup scale="67"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COVER PAGE</vt:lpstr>
      <vt:lpstr>Rhonda</vt:lpstr>
      <vt:lpstr>Kat</vt:lpstr>
      <vt:lpstr>Jenna</vt:lpstr>
      <vt:lpstr>Faith</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cp:lastPrinted>2025-12-21T02:20:32Z</cp:lastPrinted>
  <dcterms:created xsi:type="dcterms:W3CDTF">2023-08-26T02:20:05Z</dcterms:created>
  <dcterms:modified xsi:type="dcterms:W3CDTF">2026-05-04T23:38:43Z</dcterms:modified>
</cp:coreProperties>
</file>